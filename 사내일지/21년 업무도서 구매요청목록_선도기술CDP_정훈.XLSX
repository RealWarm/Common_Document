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wjdgn\Desktop\Common_Folder\"/>
    </mc:Choice>
  </mc:AlternateContent>
  <bookViews>
    <workbookView xWindow="28680" yWindow="-120" windowWidth="29040" windowHeight="15840"/>
  </bookViews>
  <sheets>
    <sheet name="2021" sheetId="2" r:id="rId1"/>
    <sheet name="Sheet1" sheetId="3" r:id="rId2"/>
    <sheet name="2019" sheetId="1" state="hidden" r:id="rId3"/>
  </sheets>
  <definedNames>
    <definedName name="_xlnm._FilterDatabase" localSheetId="2" hidden="1">'2019'!$C$6:$J$97</definedName>
    <definedName name="_xlnm._FilterDatabase" localSheetId="0" hidden="1">'2021'!$C$6:$K$17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" i="2" l="1"/>
  <c r="B7" i="2" l="1"/>
  <c r="B8" i="2"/>
  <c r="B9" i="2"/>
  <c r="B10" i="2"/>
  <c r="B11" i="2"/>
  <c r="B12" i="2"/>
  <c r="B13" i="2"/>
  <c r="B14" i="2"/>
  <c r="B15" i="2"/>
  <c r="B16" i="2"/>
  <c r="K17" i="2" l="1"/>
  <c r="B28" i="1" l="1"/>
  <c r="J97" i="1" l="1"/>
  <c r="B88" i="1"/>
  <c r="B89" i="1"/>
  <c r="B90" i="1"/>
  <c r="B91" i="1"/>
  <c r="B92" i="1"/>
  <c r="B78" i="1" l="1"/>
  <c r="B79" i="1"/>
  <c r="B80" i="1"/>
  <c r="B95" i="1"/>
  <c r="B96" i="1"/>
  <c r="B86" i="1"/>
  <c r="B87" i="1"/>
  <c r="B93" i="1"/>
  <c r="B94" i="1"/>
  <c r="B67" i="1"/>
  <c r="B68" i="1"/>
  <c r="B69" i="1"/>
  <c r="B70" i="1"/>
  <c r="B71" i="1"/>
  <c r="B72" i="1"/>
  <c r="B73" i="1"/>
  <c r="B74" i="1"/>
  <c r="B75" i="1"/>
  <c r="B76" i="1"/>
  <c r="B77" i="1"/>
  <c r="B81" i="1"/>
  <c r="B82" i="1"/>
  <c r="B83" i="1"/>
  <c r="B84" i="1"/>
  <c r="B85" i="1"/>
  <c r="B20" i="1"/>
  <c r="B16" i="1"/>
  <c r="B23" i="1"/>
  <c r="B50" i="1" l="1"/>
  <c r="B54" i="1" l="1"/>
  <c r="B55" i="1"/>
  <c r="B56" i="1"/>
  <c r="B57" i="1"/>
  <c r="B58" i="1"/>
  <c r="B59" i="1"/>
  <c r="B60" i="1"/>
  <c r="B61" i="1"/>
  <c r="B62" i="1"/>
  <c r="B63" i="1"/>
  <c r="B64" i="1"/>
  <c r="B65" i="1"/>
  <c r="B66" i="1"/>
  <c r="B40" i="1"/>
  <c r="B41" i="1"/>
  <c r="B42" i="1"/>
  <c r="B43" i="1"/>
  <c r="B44" i="1"/>
  <c r="B45" i="1"/>
  <c r="B46" i="1"/>
  <c r="B47" i="1"/>
  <c r="B48" i="1"/>
  <c r="B49" i="1"/>
  <c r="B51" i="1"/>
  <c r="B52" i="1"/>
  <c r="B53" i="1"/>
  <c r="B30" i="1"/>
  <c r="B31" i="1"/>
  <c r="B32" i="1"/>
  <c r="B33" i="1"/>
  <c r="B34" i="1"/>
  <c r="B35" i="1"/>
  <c r="B36" i="1"/>
  <c r="B37" i="1"/>
  <c r="B38" i="1"/>
  <c r="B39" i="1"/>
  <c r="B8" i="1" l="1"/>
  <c r="B9" i="1"/>
  <c r="B10" i="1"/>
  <c r="B11" i="1"/>
  <c r="B12" i="1"/>
  <c r="B13" i="1"/>
  <c r="B14" i="1"/>
  <c r="B15" i="1"/>
  <c r="B17" i="1"/>
  <c r="B18" i="1"/>
  <c r="B19" i="1"/>
  <c r="B21" i="1"/>
  <c r="B22" i="1"/>
  <c r="B24" i="1"/>
  <c r="B25" i="1"/>
  <c r="B26" i="1"/>
  <c r="B27" i="1"/>
  <c r="B29" i="1"/>
  <c r="B7" i="1" l="1"/>
</calcChain>
</file>

<file path=xl/comments1.xml><?xml version="1.0" encoding="utf-8"?>
<comments xmlns="http://schemas.openxmlformats.org/spreadsheetml/2006/main">
  <authors>
    <author>손은영</author>
  </authors>
  <commentList>
    <comment ref="K6" authorId="0" shapeId="0">
      <text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2.xml><?xml version="1.0" encoding="utf-8"?>
<comments xmlns="http://schemas.openxmlformats.org/spreadsheetml/2006/main">
  <authors>
    <author>손은영</author>
  </authors>
  <commentList>
    <comment ref="J6" authorId="0" shapeId="0">
      <text>
        <r>
          <rPr>
            <b/>
            <sz val="9"/>
            <color indexed="81"/>
            <rFont val="돋움"/>
            <family val="3"/>
            <charset val="129"/>
          </rPr>
          <t>인터넷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sharedStrings.xml><?xml version="1.0" encoding="utf-8"?>
<sst xmlns="http://schemas.openxmlformats.org/spreadsheetml/2006/main" count="666" uniqueCount="371">
  <si>
    <t>직급</t>
    <phoneticPr fontId="1" type="noConversion"/>
  </si>
  <si>
    <t>이름</t>
    <phoneticPr fontId="1" type="noConversion"/>
  </si>
  <si>
    <t>신청자</t>
    <phoneticPr fontId="1" type="noConversion"/>
  </si>
  <si>
    <t>도서명</t>
    <phoneticPr fontId="1" type="noConversion"/>
  </si>
  <si>
    <t>출판사</t>
    <phoneticPr fontId="1" type="noConversion"/>
  </si>
  <si>
    <t>저자명</t>
    <phoneticPr fontId="1" type="noConversion"/>
  </si>
  <si>
    <t>신청도서정보</t>
    <phoneticPr fontId="1" type="noConversion"/>
  </si>
  <si>
    <t>가격(\)</t>
    <phoneticPr fontId="1" type="noConversion"/>
  </si>
  <si>
    <t>배송지(상주근무지 주소)</t>
    <phoneticPr fontId="1" type="noConversion"/>
  </si>
  <si>
    <t>○ 통합이행본부 업무도서 신청 List</t>
    <phoneticPr fontId="1" type="noConversion"/>
  </si>
  <si>
    <t>이행팀명</t>
    <phoneticPr fontId="1" type="noConversion"/>
  </si>
  <si>
    <t>아키텍처컨설팅팀</t>
    <phoneticPr fontId="1" type="noConversion"/>
  </si>
  <si>
    <t>이가진</t>
    <phoneticPr fontId="1" type="noConversion"/>
  </si>
  <si>
    <t>이사</t>
    <phoneticPr fontId="1" type="noConversion"/>
  </si>
  <si>
    <t>앞으로 5년 한반도 투자 시나리오</t>
    <phoneticPr fontId="1" type="noConversion"/>
  </si>
  <si>
    <t>짐 로저스</t>
    <phoneticPr fontId="1" type="noConversion"/>
  </si>
  <si>
    <t>비즈니스북스</t>
    <phoneticPr fontId="1" type="noConversion"/>
  </si>
  <si>
    <t>아키텍처컨설팅팀</t>
  </si>
  <si>
    <t>김수</t>
  </si>
  <si>
    <t>차장</t>
  </si>
  <si>
    <t>데이터 모델 리소스 북 vol.3</t>
  </si>
  <si>
    <t>렌 실버스톤
(박경호 역)</t>
  </si>
  <si>
    <t>지앤선</t>
  </si>
  <si>
    <t>이정훈</t>
  </si>
  <si>
    <t>부장</t>
  </si>
  <si>
    <t>Hyper-V를 다루는 기술</t>
  </si>
  <si>
    <t>백승주</t>
  </si>
  <si>
    <t>길벗</t>
  </si>
  <si>
    <t>이행6팀</t>
  </si>
  <si>
    <t>조용한</t>
  </si>
  <si>
    <t>이사</t>
  </si>
  <si>
    <t>김화업</t>
  </si>
  <si>
    <t xml:space="preserve">사이토 고키 저/개앞맵시 역 </t>
  </si>
  <si>
    <t>한빛미디어</t>
  </si>
  <si>
    <t>아키텍쳐컨설팅팀</t>
  </si>
  <si>
    <t>김현성</t>
  </si>
  <si>
    <t xml:space="preserve">권순용,최병인,박병섭 저 </t>
  </si>
  <si>
    <t>이행3팀</t>
  </si>
  <si>
    <t>이소영</t>
  </si>
  <si>
    <t>과장</t>
  </si>
  <si>
    <t>데이터 모델 리소스 북 vol.1</t>
  </si>
  <si>
    <t>렌 실버스톤
(김기창 역)</t>
  </si>
  <si>
    <t>소프트라잇북</t>
  </si>
  <si>
    <t>이행5팀</t>
  </si>
  <si>
    <t>김성현</t>
  </si>
  <si>
    <t xml:space="preserve">아두이노, 상상을 현실로 만드는 프로젝트 입문편+아두이노 키트 세트 </t>
  </si>
  <si>
    <t>최재규, 이준혁</t>
  </si>
  <si>
    <t>영진닷컴</t>
  </si>
  <si>
    <t>김재원</t>
  </si>
  <si>
    <t>광주광역시 서구 화정로 189번길 30 1층 전산실</t>
  </si>
  <si>
    <t>오라클 성능 고도화 원리와 해법 2</t>
  </si>
  <si>
    <t>조시형</t>
  </si>
  <si>
    <t>디비안(주) (DBian)</t>
  </si>
  <si>
    <t>이행6팀</t>
    <phoneticPr fontId="1" type="noConversion"/>
  </si>
  <si>
    <t>조준상</t>
    <phoneticPr fontId="1" type="noConversion"/>
  </si>
  <si>
    <t>부장</t>
    <phoneticPr fontId="1" type="noConversion"/>
  </si>
  <si>
    <t>한빛미디어</t>
    <phoneticPr fontId="1" type="noConversion"/>
  </si>
  <si>
    <t>안시환</t>
  </si>
  <si>
    <t>데이터베이스 관리자를 위한 티베로 실전 가이드</t>
  </si>
  <si>
    <t>박종현, 티맥스데이터</t>
  </si>
  <si>
    <t>비팬북스(러닝스페이스)</t>
  </si>
  <si>
    <t>이행1팀</t>
  </si>
  <si>
    <t>이현철</t>
  </si>
  <si>
    <t>오픈스택 관리 바이블</t>
  </si>
  <si>
    <t>정철</t>
  </si>
  <si>
    <t>에이콘출판</t>
  </si>
  <si>
    <t>박정근</t>
  </si>
  <si>
    <t xml:space="preserve">프리렉 </t>
  </si>
  <si>
    <t>박상욱</t>
  </si>
  <si>
    <r>
      <t>테런스 J. 세즈노스키</t>
    </r>
    <r>
      <rPr>
        <sz val="7"/>
        <color rgb="FF555555"/>
        <rFont val="돋움"/>
        <family val="3"/>
        <charset val="129"/>
      </rPr>
      <t xml:space="preserve"> 저/</t>
    </r>
    <r>
      <rPr>
        <sz val="7"/>
        <color rgb="FF666666"/>
        <rFont val="돋움"/>
        <family val="3"/>
        <charset val="129"/>
      </rPr>
      <t>안진환</t>
    </r>
    <r>
      <rPr>
        <sz val="7"/>
        <color rgb="FF555555"/>
        <rFont val="돋움"/>
        <family val="3"/>
        <charset val="129"/>
      </rPr>
      <t xml:space="preserve"> 역/</t>
    </r>
    <r>
      <rPr>
        <sz val="7"/>
        <color rgb="FF666666"/>
        <rFont val="돋움"/>
        <family val="3"/>
        <charset val="129"/>
      </rPr>
      <t>권정민</t>
    </r>
    <r>
      <rPr>
        <sz val="7"/>
        <color rgb="FF555555"/>
        <rFont val="돋움"/>
        <family val="3"/>
        <charset val="129"/>
      </rPr>
      <t xml:space="preserve"> 감수</t>
    </r>
  </si>
  <si>
    <t>한국경제신문사(한경비피)</t>
  </si>
  <si>
    <t>권혁재</t>
    <phoneticPr fontId="1" type="noConversion"/>
  </si>
  <si>
    <t>이행2팀</t>
  </si>
  <si>
    <t>이행2팀</t>
    <phoneticPr fontId="1" type="noConversion"/>
  </si>
  <si>
    <t>이사</t>
    <phoneticPr fontId="1" type="noConversion"/>
  </si>
  <si>
    <t>고객을 사로잡는 매력적인 제안서와 창의적인 제안팀 이야기</t>
    <phoneticPr fontId="1" type="noConversion"/>
  </si>
  <si>
    <t>한빛미디어</t>
    <phoneticPr fontId="1" type="noConversion"/>
  </si>
  <si>
    <t>류현주, 박민영</t>
    <phoneticPr fontId="1" type="noConversion"/>
  </si>
  <si>
    <t>대구광역시 동구 이노밸리로 309, 대복타운 4층</t>
    <phoneticPr fontId="1" type="noConversion"/>
  </si>
  <si>
    <t>김철현</t>
  </si>
  <si>
    <t>PMP Agile 바이블 (PMBOK 6th Edition) 해설서</t>
  </si>
  <si>
    <t>강정배,서정훈,이지현</t>
  </si>
  <si>
    <t>시대고시기획</t>
  </si>
  <si>
    <t>김진규</t>
  </si>
  <si>
    <t>상무</t>
  </si>
  <si>
    <t>당신의 미래에 던지는 빅퀘스천 10</t>
  </si>
  <si>
    <t>이영탁/손병수</t>
  </si>
  <si>
    <t>한국경제시신문</t>
  </si>
  <si>
    <t>안성환</t>
  </si>
  <si>
    <r>
      <t>류길현</t>
    </r>
    <r>
      <rPr>
        <sz val="9"/>
        <color rgb="FF555555"/>
        <rFont val="돋움"/>
        <family val="3"/>
        <charset val="129"/>
      </rPr>
      <t xml:space="preserve">, </t>
    </r>
    <r>
      <rPr>
        <sz val="9"/>
        <color rgb="FF666666"/>
        <rFont val="돋움"/>
        <family val="3"/>
        <charset val="129"/>
      </rPr>
      <t>오명훈</t>
    </r>
    <r>
      <rPr>
        <sz val="9"/>
        <color rgb="FF555555"/>
        <rFont val="돋움"/>
        <family val="3"/>
        <charset val="129"/>
      </rPr>
      <t xml:space="preserve">, </t>
    </r>
    <r>
      <rPr>
        <sz val="9"/>
        <color rgb="FF666666"/>
        <rFont val="돋움"/>
        <family val="3"/>
        <charset val="129"/>
      </rPr>
      <t>한승민</t>
    </r>
    <r>
      <rPr>
        <sz val="9"/>
        <color rgb="FF555555"/>
        <rFont val="돋움"/>
        <family val="3"/>
        <charset val="129"/>
      </rPr>
      <t xml:space="preserve"> 저</t>
    </r>
  </si>
  <si>
    <t>엑셈</t>
  </si>
  <si>
    <t>정원일</t>
  </si>
  <si>
    <t>홀든 카로</t>
  </si>
  <si>
    <t>제이펍</t>
  </si>
  <si>
    <t>주영재</t>
  </si>
  <si>
    <t>송찬우</t>
  </si>
  <si>
    <t>그림으로 공부하는 IT인프라 구조</t>
  </si>
  <si>
    <t>야마자키 야스시</t>
  </si>
  <si>
    <t>박순규</t>
  </si>
  <si>
    <t>임호진</t>
  </si>
  <si>
    <t>유재만</t>
  </si>
  <si>
    <t>정보처리기술사</t>
  </si>
  <si>
    <t>예문사</t>
  </si>
  <si>
    <t>노승찬</t>
  </si>
  <si>
    <t xml:space="preserve">강정배, 서정훈, 이지현 </t>
  </si>
  <si>
    <t xml:space="preserve">시대고시기획 시대교육 </t>
  </si>
  <si>
    <t>홍서원</t>
  </si>
  <si>
    <t>로버트 C. 마틴</t>
  </si>
  <si>
    <t>인사이트</t>
  </si>
  <si>
    <t>용상훈</t>
  </si>
  <si>
    <t>프란체스코마르치오니</t>
  </si>
  <si>
    <t>에이콘출판㈜</t>
  </si>
  <si>
    <t>이행4팀</t>
  </si>
  <si>
    <t>이재국</t>
  </si>
  <si>
    <t>예산회계실무 기본편</t>
  </si>
  <si>
    <t>강인옥, 최두선, 최기웅</t>
  </si>
  <si>
    <t>광문각</t>
  </si>
  <si>
    <t>손승룡</t>
  </si>
  <si>
    <t xml:space="preserve">권문수 저 </t>
  </si>
  <si>
    <t>신은영</t>
  </si>
  <si>
    <t xml:space="preserve">YBM </t>
  </si>
  <si>
    <t>이행6팀</t>
    <phoneticPr fontId="1" type="noConversion"/>
  </si>
  <si>
    <t>장재홍</t>
  </si>
  <si>
    <t>유충현, 홍성학</t>
  </si>
  <si>
    <t>김정훈</t>
  </si>
  <si>
    <t>김익환</t>
  </si>
  <si>
    <t>안수현</t>
  </si>
  <si>
    <t>토쿠마루 히로시</t>
  </si>
  <si>
    <t>위키북스</t>
  </si>
  <si>
    <t>최종진</t>
  </si>
  <si>
    <t>권순용</t>
  </si>
  <si>
    <t>엑시엄정보시스템</t>
  </si>
  <si>
    <t>이효정</t>
  </si>
  <si>
    <t>엠지에이치북스 편집부</t>
  </si>
  <si>
    <t>MGHBooks(엠지에이치북스)</t>
  </si>
  <si>
    <t>안재혁</t>
  </si>
  <si>
    <t>디비안(DBian)</t>
  </si>
  <si>
    <t>이택용</t>
  </si>
  <si>
    <t>대리</t>
  </si>
  <si>
    <t>NCS정보기술연구회</t>
  </si>
  <si>
    <t>한국정보화기술</t>
  </si>
  <si>
    <t>황정창</t>
  </si>
  <si>
    <t>박응용</t>
  </si>
  <si>
    <t>이지스퍼블리싱</t>
  </si>
  <si>
    <t>김은송</t>
  </si>
  <si>
    <t>민택기</t>
  </si>
  <si>
    <t>노드미디어</t>
  </si>
  <si>
    <t>우소연</t>
  </si>
  <si>
    <t>사원</t>
  </si>
  <si>
    <t>한국데이터베이스진흥원</t>
  </si>
  <si>
    <t>한국데이터산업진흥원</t>
  </si>
  <si>
    <t>박현승</t>
  </si>
  <si>
    <t>이일민</t>
  </si>
  <si>
    <t>정성호</t>
  </si>
  <si>
    <t>조규완</t>
  </si>
  <si>
    <t>이선 브라운, 한선용</t>
  </si>
  <si>
    <t>김현길</t>
  </si>
  <si>
    <t>황석진</t>
  </si>
  <si>
    <t>정세정</t>
  </si>
  <si>
    <t>전라남도 나주시 교육길 35 한국콘텐츠진흥원 IDC</t>
  </si>
  <si>
    <t>혼자 공부하는 자바</t>
  </si>
  <si>
    <t>신용권</t>
  </si>
  <si>
    <t>이선순</t>
  </si>
  <si>
    <t>PMP자격증 Agile 바이블</t>
  </si>
  <si>
    <t>강정배, 서정훈</t>
  </si>
  <si>
    <t>이민우</t>
  </si>
  <si>
    <t>클라우드 네이티브 인프라스트럭처</t>
  </si>
  <si>
    <t>저스틴 개리슨, 크리스 노바</t>
  </si>
  <si>
    <t>책만</t>
  </si>
  <si>
    <t>이찬식</t>
  </si>
  <si>
    <t>아사이 아츠시</t>
  </si>
  <si>
    <t>고태용</t>
  </si>
  <si>
    <t>서울특별시 중구 서소문로 125 한화빌딩 5층</t>
  </si>
  <si>
    <t>블록체인 트렌드 2020</t>
  </si>
  <si>
    <t>커넥팅랩</t>
  </si>
  <si>
    <t>yes24</t>
  </si>
  <si>
    <t>강봉규</t>
  </si>
  <si>
    <t>하둡 완벽 가이드</t>
  </si>
  <si>
    <t>톰 화이트</t>
  </si>
  <si>
    <t>김형준</t>
  </si>
  <si>
    <t>머신 러닝 교과서 with 파이썬, 사이킷런, 텐서플로</t>
  </si>
  <si>
    <t>세바스찬 라시카,바히드 미자리리</t>
  </si>
  <si>
    <t>김도형B</t>
    <phoneticPr fontId="1" type="noConversion"/>
  </si>
  <si>
    <t>민성의</t>
  </si>
  <si>
    <t>서준석</t>
  </si>
  <si>
    <t>비제이퍼블릭</t>
  </si>
  <si>
    <t>이호승</t>
  </si>
  <si>
    <t>클라우드 도입 실천 전략</t>
  </si>
  <si>
    <t>모어 압둘라, 잉고 애버덩크 외</t>
  </si>
  <si>
    <t>에이콘출판사</t>
  </si>
  <si>
    <t>김형석</t>
  </si>
  <si>
    <t>양대일</t>
  </si>
  <si>
    <t>한빛아카데미</t>
  </si>
  <si>
    <t>이행5팀</t>
    <phoneticPr fontId="1" type="noConversion"/>
  </si>
  <si>
    <t>한만권</t>
    <phoneticPr fontId="1" type="noConversion"/>
  </si>
  <si>
    <t>차장</t>
    <phoneticPr fontId="1" type="noConversion"/>
  </si>
  <si>
    <t>혼자 공부하는 파이썬</t>
    <phoneticPr fontId="1" type="noConversion"/>
  </si>
  <si>
    <t>윤인성</t>
    <phoneticPr fontId="1" type="noConversion"/>
  </si>
  <si>
    <t>김동현</t>
    <phoneticPr fontId="1" type="noConversion"/>
  </si>
  <si>
    <t>과장</t>
    <phoneticPr fontId="1" type="noConversion"/>
  </si>
  <si>
    <t>민택기</t>
    <phoneticPr fontId="1" type="noConversion"/>
  </si>
  <si>
    <t>노드미디어</t>
    <phoneticPr fontId="1" type="noConversion"/>
  </si>
  <si>
    <t>아키텍처컨설팅팀</t>
    <phoneticPr fontId="1" type="noConversion"/>
  </si>
  <si>
    <t>(주)엑시엄정보시스템</t>
    <phoneticPr fontId="1" type="noConversion"/>
  </si>
  <si>
    <t>강정배, 서정훈, 이지현</t>
    <phoneticPr fontId="1" type="noConversion"/>
  </si>
  <si>
    <t>김도형A</t>
  </si>
  <si>
    <t>처음 배우는 암호화</t>
  </si>
  <si>
    <t>장필리프 오마송 저/류광 역</t>
  </si>
  <si>
    <t>프로젝트 관리를 알면 프로젝트가 보인다</t>
    <phoneticPr fontId="1" type="noConversion"/>
  </si>
  <si>
    <t>글로벌 소프트웨어를 말하다, 지혜</t>
    <phoneticPr fontId="1" type="noConversion"/>
  </si>
  <si>
    <t>SQL 전문가 가이드</t>
    <phoneticPr fontId="1" type="noConversion"/>
  </si>
  <si>
    <t>친절한 SQL 튜닝</t>
    <phoneticPr fontId="1" type="noConversion"/>
  </si>
  <si>
    <t>2020 NCS 정보처리기사 실기</t>
    <phoneticPr fontId="1" type="noConversion"/>
  </si>
  <si>
    <t>러닝자바스크립트</t>
    <phoneticPr fontId="1" type="noConversion"/>
  </si>
  <si>
    <t>Perfect 오라클 실전 튜닝2</t>
    <phoneticPr fontId="1" type="noConversion"/>
  </si>
  <si>
    <t>Do it! 점프투 파이썬</t>
    <phoneticPr fontId="1" type="noConversion"/>
  </si>
  <si>
    <t>서울특별시 중구 서소문로 125 한화빌딩 4층</t>
    <phoneticPr fontId="1" type="noConversion"/>
  </si>
  <si>
    <t>서울특별시 중구 퇴계로 10 메트로타워 17층</t>
    <phoneticPr fontId="1" type="noConversion"/>
  </si>
  <si>
    <t>서울특별시 서초구 반포대로 13 아이티센빌딩</t>
    <phoneticPr fontId="1" type="noConversion"/>
  </si>
  <si>
    <t>서울특별시 서초구 반포대로 13 아이티센빌딩</t>
    <phoneticPr fontId="1" type="noConversion"/>
  </si>
  <si>
    <t>서울특별시 마포구 성암로 301 한국지역정보개발원 6층 공통기반운영지원단</t>
    <phoneticPr fontId="1" type="noConversion"/>
  </si>
  <si>
    <t>서울특별시 마포구 성암로 301 한국지역정보개발원 6층 재해복구 운영지원단</t>
    <phoneticPr fontId="1" type="noConversion"/>
  </si>
  <si>
    <t>서울특별시 마포구 월드컵북로 434 상암 IT타워 12층 아이티센</t>
    <phoneticPr fontId="1" type="noConversion"/>
  </si>
  <si>
    <t>서울특별시 종로구 사직로8길 60 정부중앙청사별관</t>
    <phoneticPr fontId="1" type="noConversion"/>
  </si>
  <si>
    <t>서울특별시 종로구 새문안로 69 구세군회관 301호</t>
    <phoneticPr fontId="1" type="noConversion"/>
  </si>
  <si>
    <t>세종특별시 국세청로 4 갤러리 세종프라자 7층 713호</t>
    <phoneticPr fontId="1" type="noConversion"/>
  </si>
  <si>
    <t>대전광역시 유성구 죽동로 69 소프트아이텍빌딩 3층 아이티센</t>
    <phoneticPr fontId="1" type="noConversion"/>
  </si>
  <si>
    <t>최은수</t>
  </si>
  <si>
    <t>권문길</t>
  </si>
  <si>
    <t>심성보</t>
  </si>
  <si>
    <t>클라우드 컴퓨팅</t>
  </si>
  <si>
    <t>에이콘</t>
  </si>
  <si>
    <t>김종웅</t>
  </si>
  <si>
    <t>최장현</t>
  </si>
  <si>
    <t>자바 람다 배우기</t>
  </si>
  <si>
    <t>토비 웨슨</t>
  </si>
  <si>
    <t>조유리</t>
  </si>
  <si>
    <t>김종민</t>
  </si>
  <si>
    <t>남동현</t>
  </si>
  <si>
    <t>율리아나 코스미나</t>
  </si>
  <si>
    <t>김수식</t>
  </si>
  <si>
    <t>벤저민 J. 에번스, 제임스 고프, 크리스 뉴랜드</t>
  </si>
  <si>
    <t>조희성</t>
  </si>
  <si>
    <t>하야시 미사유키</t>
  </si>
  <si>
    <t>주정철</t>
  </si>
  <si>
    <t>이영호, 한동수</t>
  </si>
  <si>
    <t>조혜미</t>
  </si>
  <si>
    <t>2020 조현준 정보보안기사 산업기사 필기 + 핵심기출 1200제</t>
  </si>
  <si>
    <t>조현준</t>
  </si>
  <si>
    <t>탑스팟</t>
  </si>
  <si>
    <t>우진걸</t>
  </si>
  <si>
    <t>주종면</t>
  </si>
  <si>
    <t>데이터북</t>
  </si>
  <si>
    <t>라울-게이브리얼 우르마, 마리오 푸스코, 앨런 마이크로프트</t>
  </si>
  <si>
    <t>나라얀 프루스티</t>
  </si>
  <si>
    <t>이후영</t>
  </si>
  <si>
    <t>헤드 퍼스트 PMP</t>
  </si>
  <si>
    <t>제니퍼 그린 외</t>
  </si>
  <si>
    <t>신재호</t>
  </si>
  <si>
    <t>손준석</t>
  </si>
  <si>
    <t>장세진</t>
  </si>
  <si>
    <t>이화식</t>
  </si>
  <si>
    <t>엔코아컨설팅</t>
  </si>
  <si>
    <t>지주원</t>
  </si>
  <si>
    <t>김용기</t>
  </si>
  <si>
    <t>한스미디어</t>
  </si>
  <si>
    <t>정혜정</t>
  </si>
  <si>
    <t>정보통신산업진흥원(nipa), 비즈피어컨소시엄</t>
  </si>
  <si>
    <t>프리렉</t>
  </si>
  <si>
    <t>고준영</t>
  </si>
  <si>
    <t>정재권</t>
  </si>
  <si>
    <t>스프링 5.0 마스터</t>
  </si>
  <si>
    <t>랑가 라오 카라남</t>
  </si>
  <si>
    <t>이호성</t>
  </si>
  <si>
    <t>구종만</t>
  </si>
  <si>
    <t>정대로</t>
  </si>
  <si>
    <t>이택균</t>
  </si>
  <si>
    <t>지영철</t>
  </si>
  <si>
    <t>딥러닝 레볼루션AI 시대, 무엇을 준비할 것인가</t>
    <phoneticPr fontId="1" type="noConversion"/>
  </si>
  <si>
    <t>서울특별시 서초구 남부순환로 2558 외교센터 10층 개발실</t>
    <phoneticPr fontId="1" type="noConversion"/>
  </si>
  <si>
    <t>스프링 입문을 위한 자바 객체 지향의 원리와 이해</t>
    <phoneticPr fontId="1" type="noConversion"/>
  </si>
  <si>
    <t>전문가를 위한 스프링5</t>
    <phoneticPr fontId="1" type="noConversion"/>
  </si>
  <si>
    <t>그림으로 배우는 클라우드</t>
    <phoneticPr fontId="1" type="noConversion"/>
  </si>
  <si>
    <t>당신이 지금 알아야 할 AWS</t>
    <phoneticPr fontId="1" type="noConversion"/>
  </si>
  <si>
    <t>빅데이터 저장 및 분석을 위한 NoSQL &amp; Redis</t>
    <phoneticPr fontId="1" type="noConversion"/>
  </si>
  <si>
    <t>모던 자바 인 액션</t>
    <phoneticPr fontId="1" type="noConversion"/>
  </si>
  <si>
    <t>ECMAScript6 길들이기</t>
    <phoneticPr fontId="1" type="noConversion"/>
  </si>
  <si>
    <t>소프트웨어 품질관리 실무가이드</t>
    <phoneticPr fontId="1" type="noConversion"/>
  </si>
  <si>
    <t>이행5팀</t>
    <phoneticPr fontId="1" type="noConversion"/>
  </si>
  <si>
    <t>세종특별자치시 한누리대로 249 에스제이타워 306</t>
    <phoneticPr fontId="1" type="noConversion"/>
  </si>
  <si>
    <t>세종특별자치시 국세청로 8-14 국세청 5층</t>
    <phoneticPr fontId="1" type="noConversion"/>
  </si>
  <si>
    <t>이행3팀</t>
    <phoneticPr fontId="1" type="noConversion"/>
  </si>
  <si>
    <t>김진아</t>
    <phoneticPr fontId="1" type="noConversion"/>
  </si>
  <si>
    <t>대리</t>
    <phoneticPr fontId="1" type="noConversion"/>
  </si>
  <si>
    <t>세종특별시 국세청로 4,다우갤러리 7층 707호</t>
    <phoneticPr fontId="1" type="noConversion"/>
  </si>
  <si>
    <t>2020 NCS 정보처리기사 필기</t>
    <phoneticPr fontId="1" type="noConversion"/>
  </si>
  <si>
    <t>서울특별시 마포구 월드컵북로 402 KGIT B/D 20F</t>
    <phoneticPr fontId="1" type="noConversion"/>
  </si>
  <si>
    <t>박호</t>
  </si>
  <si>
    <t>경남 진주시 동진로 420 국방기술품질원</t>
  </si>
  <si>
    <t>장경범</t>
  </si>
  <si>
    <t>경남 진주시 동진로 420 국방기술품질원</t>
    <phoneticPr fontId="1" type="noConversion"/>
  </si>
  <si>
    <t>데이터아키텍처 전문가 가이드</t>
    <phoneticPr fontId="1" type="noConversion"/>
  </si>
  <si>
    <t>김민채</t>
    <phoneticPr fontId="1" type="noConversion"/>
  </si>
  <si>
    <t>데이터 모델 리소스 북 vol.1</t>
    <phoneticPr fontId="1" type="noConversion"/>
  </si>
  <si>
    <t>스포트라잇북</t>
    <phoneticPr fontId="1" type="noConversion"/>
  </si>
  <si>
    <t>이재성</t>
    <phoneticPr fontId="1" type="noConversion"/>
  </si>
  <si>
    <t>쿠버네티스를 활용한 클라우드 네이티브 데브옵스</t>
    <phoneticPr fontId="1" type="noConversion"/>
  </si>
  <si>
    <t>존 어런들, 저스틴 도밍거스 / 최경현</t>
    <phoneticPr fontId="1" type="noConversion"/>
  </si>
  <si>
    <t xml:space="preserve">한빛미디어 </t>
    <phoneticPr fontId="1" type="noConversion"/>
  </si>
  <si>
    <t>서울특별시 중구 서소문로 125 한화빌딩 7층</t>
    <phoneticPr fontId="1" type="noConversion"/>
  </si>
  <si>
    <t>당신이 지금 알아야 할 AWS</t>
    <phoneticPr fontId="1" type="noConversion"/>
  </si>
  <si>
    <t>한빛미디어</t>
    <phoneticPr fontId="1" type="noConversion"/>
  </si>
  <si>
    <t>JVM Performance Optimizing 및 성능분석사례</t>
    <phoneticPr fontId="1" type="noConversion"/>
  </si>
  <si>
    <t>러닝 스파크</t>
    <phoneticPr fontId="1" type="noConversion"/>
  </si>
  <si>
    <t>(주)엑시엄정보시스템</t>
    <phoneticPr fontId="1" type="noConversion"/>
  </si>
  <si>
    <t>오라클 실전 튜닝 3</t>
    <phoneticPr fontId="1" type="noConversion"/>
  </si>
  <si>
    <t>정보 보안 개론</t>
    <phoneticPr fontId="1" type="noConversion"/>
  </si>
  <si>
    <t>PMP자격증 Agile 바이블 (PMBOK 6th Edition 해설서)</t>
    <phoneticPr fontId="1" type="noConversion"/>
  </si>
  <si>
    <t>토마스얼,
자이엄 마흐무드,
리카르도 푸스티</t>
    <phoneticPr fontId="1" type="noConversion"/>
  </si>
  <si>
    <t>이기적 SQL 개발자 이론서+문제집</t>
    <phoneticPr fontId="1" type="noConversion"/>
  </si>
  <si>
    <t>Optimizing Java(자바 최적화)</t>
    <phoneticPr fontId="1" type="noConversion"/>
  </si>
  <si>
    <t>지적 대화를 위한 넓고 얕은 지식 0</t>
    <phoneticPr fontId="1" type="noConversion"/>
  </si>
  <si>
    <t>채사장</t>
    <phoneticPr fontId="1" type="noConversion"/>
  </si>
  <si>
    <t>웨일북</t>
    <phoneticPr fontId="1" type="noConversion"/>
  </si>
  <si>
    <t>인공지능 보안을 배우다</t>
    <phoneticPr fontId="1" type="noConversion"/>
  </si>
  <si>
    <t>SQL 첫걸음</t>
    <phoneticPr fontId="1" type="noConversion"/>
  </si>
  <si>
    <t>알고리즘 문제 해결 전략 세트 (전2권)</t>
    <phoneticPr fontId="1" type="noConversion"/>
  </si>
  <si>
    <t>새로 쓴 대용량 데이터베이스 솔루션 Vol.1</t>
    <phoneticPr fontId="1" type="noConversion"/>
  </si>
  <si>
    <t>최강 제안 경쟁 프리젠테이션 1</t>
    <phoneticPr fontId="1" type="noConversion"/>
  </si>
  <si>
    <t>클린 아키텍처</t>
    <phoneticPr fontId="1" type="noConversion"/>
  </si>
  <si>
    <t>토비의 스프링 3.1세트</t>
    <phoneticPr fontId="1" type="noConversion"/>
  </si>
  <si>
    <t>웹 애플리케이션 보안 완벽 가이드</t>
    <phoneticPr fontId="1" type="noConversion"/>
  </si>
  <si>
    <t>인포그래픽스</t>
    <phoneticPr fontId="1" type="noConversion"/>
  </si>
  <si>
    <t>R을 활용한 데이터 시각화</t>
    <phoneticPr fontId="1" type="noConversion"/>
  </si>
  <si>
    <t>이기적 정보보안기사·산업기사 필기 이론서 + 기출문제집</t>
    <phoneticPr fontId="1" type="noConversion"/>
  </si>
  <si>
    <t>한국데이터베이스진흥센터</t>
    <phoneticPr fontId="1" type="noConversion"/>
  </si>
  <si>
    <t>실무로 배우는 시스템 성능 최적화</t>
    <phoneticPr fontId="1" type="noConversion"/>
  </si>
  <si>
    <t>영진정보연구소</t>
    <phoneticPr fontId="1" type="noConversion"/>
  </si>
  <si>
    <t>위키북스</t>
    <phoneticPr fontId="1" type="noConversion"/>
  </si>
  <si>
    <t>JBoss AS 7 따라잡기</t>
    <phoneticPr fontId="1" type="noConversion"/>
  </si>
  <si>
    <t>밑바닥부터 시작하는 딥러닝 (파이썬으로 익히는 딥러닝 이론과 구현)</t>
    <phoneticPr fontId="1" type="noConversion"/>
  </si>
  <si>
    <t>YBM ETS 토익 정기시험 기출문제집 1000 LC LISTENING</t>
    <phoneticPr fontId="1" type="noConversion"/>
  </si>
  <si>
    <t>오라클 실전 튜닝 2</t>
    <phoneticPr fontId="1" type="noConversion"/>
  </si>
  <si>
    <t>PMP 바이블 세트</t>
    <phoneticPr fontId="1" type="noConversion"/>
  </si>
  <si>
    <t>범</t>
    <phoneticPr fontId="1" type="noConversion"/>
  </si>
  <si>
    <t>이별,김경태,김승규,이창현 외</t>
    <phoneticPr fontId="1" type="noConversion"/>
  </si>
  <si>
    <t xml:space="preserve">디지털포렌식 with CTF </t>
    <phoneticPr fontId="1" type="noConversion"/>
  </si>
  <si>
    <r>
      <t>권순용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권선민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이가혜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구경서</t>
    </r>
    <r>
      <rPr>
        <sz val="9"/>
        <color rgb="FF555555"/>
        <rFont val="򢬢verdana"/>
        <family val="2"/>
      </rPr>
      <t>,</t>
    </r>
    <r>
      <rPr>
        <sz val="9"/>
        <color rgb="FF666666"/>
        <rFont val="맑은 고딕"/>
        <family val="3"/>
        <charset val="129"/>
      </rPr>
      <t>박준형</t>
    </r>
    <r>
      <rPr>
        <sz val="9"/>
        <color rgb="FF555555"/>
        <rFont val="򢬢verdana"/>
        <family val="2"/>
      </rPr>
      <t xml:space="preserve"> </t>
    </r>
    <r>
      <rPr>
        <sz val="9"/>
        <color rgb="FF555555"/>
        <rFont val="맑은 고딕"/>
        <family val="3"/>
        <charset val="129"/>
      </rPr>
      <t>공저</t>
    </r>
    <phoneticPr fontId="1" type="noConversion"/>
  </si>
  <si>
    <t>서울특별시 중구 세종대로9길 42 부영빌딩 10층</t>
    <phoneticPr fontId="1" type="noConversion"/>
  </si>
  <si>
    <t>추연수,장경애 외</t>
    <phoneticPr fontId="1" type="noConversion"/>
  </si>
  <si>
    <t>경영기획팀</t>
    <phoneticPr fontId="1" type="noConversion"/>
  </si>
  <si>
    <t>손은영</t>
    <phoneticPr fontId="1" type="noConversion"/>
  </si>
  <si>
    <t>사원</t>
    <phoneticPr fontId="1" type="noConversion"/>
  </si>
  <si>
    <t>대구광역시 동구 이노밸리로 309 대복타운 4층</t>
    <phoneticPr fontId="1" type="noConversion"/>
  </si>
  <si>
    <t>대구광역시 동구 이노밸리로 309 대복빌딩 4층</t>
    <phoneticPr fontId="1" type="noConversion"/>
  </si>
  <si>
    <t>소속</t>
    <phoneticPr fontId="1" type="noConversion"/>
  </si>
  <si>
    <t>배송지(상주 근무지 주소)</t>
    <phoneticPr fontId="1" type="noConversion"/>
  </si>
  <si>
    <t>우편번호</t>
    <phoneticPr fontId="1" type="noConversion"/>
  </si>
  <si>
    <t>행 레이블</t>
  </si>
  <si>
    <t>총합계</t>
  </si>
  <si>
    <t>○ 21년도 업무도서 신청 List</t>
    <phoneticPr fontId="1" type="noConversion"/>
  </si>
  <si>
    <t>확인일자</t>
    <phoneticPr fontId="1" type="noConversion"/>
  </si>
  <si>
    <t>누적사용액</t>
  </si>
  <si>
    <t>도서구매요청금액</t>
    <phoneticPr fontId="1" type="noConversion"/>
  </si>
  <si>
    <t>#</t>
    <phoneticPr fontId="1" type="noConversion"/>
  </si>
  <si>
    <t>인터넷URL</t>
    <phoneticPr fontId="1" type="noConversion"/>
  </si>
  <si>
    <t>사원</t>
    <phoneticPr fontId="1" type="noConversion"/>
  </si>
  <si>
    <t>Do it! 오라클로 배우는 데이터베이스 입문 비전공자도 기초부터 확실하게! | 현업 프로그래머이자 강사인 저자가 잡아 주는 SQL, PL/SQL 기본기</t>
  </si>
  <si>
    <t>이지훈</t>
    <phoneticPr fontId="1" type="noConversion"/>
  </si>
  <si>
    <r>
      <t>22,500</t>
    </r>
    <r>
      <rPr>
        <sz val="11"/>
        <color rgb="FFF84450"/>
        <rFont val="Arial"/>
        <family val="2"/>
      </rPr>
      <t>원</t>
    </r>
    <r>
      <rPr>
        <sz val="7"/>
        <color rgb="FF666666"/>
        <rFont val="Arial"/>
        <family val="2"/>
      </rPr>
      <t> </t>
    </r>
  </si>
  <si>
    <t>http://www.kyobobook.co.kr/product/detailViewKor.laf?ejkGb=KOR&amp;mallGb=KOR&amp;barcode=9791163030300&amp;orderClick=LAG&amp;Kc=#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</si>
</sst>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₩&quot;#,##0;[Red]\-&quot;₩&quot;#,##0"/>
    <numFmt numFmtId="41" formatCode="_-* #,##0_-;\-* #,##0_-;_-* &quot;-&quot;_-;_-@_-"/>
    <numFmt numFmtId="176" formatCode="&quot;₩&quot;#,##0_);[Red]\(&quot;₩&quot;#,##0\)"/>
    <numFmt numFmtId="177" formatCode="yyyy&quot;년&quot;\ m&quot;월&quot;;@"/>
    <numFmt numFmtId="178" formatCode="mm&quot;월&quot;\ dd&quot;일&quot;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9"/>
      <color rgb="FF555555"/>
      <name val="򢬢verdana"/>
      <family val="2"/>
    </font>
    <font>
      <sz val="7"/>
      <color rgb="FF555555"/>
      <name val="돋움"/>
      <family val="3"/>
      <charset val="129"/>
    </font>
    <font>
      <sz val="7"/>
      <color rgb="FF666666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555555"/>
      <name val="돋움"/>
      <family val="3"/>
      <charset val="129"/>
    </font>
    <font>
      <sz val="9"/>
      <color rgb="FF666666"/>
      <name val="돋움"/>
      <family val="3"/>
      <charset val="129"/>
    </font>
    <font>
      <sz val="9"/>
      <color rgb="FF666666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F84450"/>
      <name val="Arial"/>
      <family val="2"/>
    </font>
    <font>
      <sz val="16"/>
      <color rgb="FFF84450"/>
      <name val="Segoe UI"/>
      <family val="2"/>
    </font>
    <font>
      <sz val="7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3759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7" fontId="8" fillId="0" borderId="0" xfId="0" applyNumberFormat="1" applyFont="1" applyAlignment="1">
      <alignment vertical="center"/>
    </xf>
    <xf numFmtId="0" fontId="2" fillId="0" borderId="0" xfId="0" applyFont="1">
      <alignment vertical="center"/>
    </xf>
    <xf numFmtId="176" fontId="12" fillId="6" borderId="0" xfId="0" applyNumberFormat="1" applyFont="1" applyFill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left" vertical="center" shrinkToFit="1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6" fontId="2" fillId="0" borderId="2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6" fontId="2" fillId="0" borderId="4" xfId="0" applyNumberFormat="1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left" vertical="center" shrinkToFit="1"/>
    </xf>
    <xf numFmtId="6" fontId="2" fillId="0" borderId="6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6" fontId="2" fillId="0" borderId="2" xfId="0" applyNumberFormat="1" applyFont="1" applyBorder="1" applyAlignment="1">
      <alignment horizontal="center" vertical="center"/>
    </xf>
    <xf numFmtId="6" fontId="2" fillId="0" borderId="7" xfId="0" applyNumberFormat="1" applyFont="1" applyBorder="1" applyAlignment="1">
      <alignment horizontal="center" vertical="center" shrinkToFit="1"/>
    </xf>
    <xf numFmtId="176" fontId="2" fillId="0" borderId="7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left" vertical="center" shrinkToFit="1"/>
    </xf>
    <xf numFmtId="6" fontId="2" fillId="0" borderId="4" xfId="0" applyNumberFormat="1" applyFont="1" applyFill="1" applyBorder="1" applyAlignment="1">
      <alignment horizontal="center" vertical="center" shrinkToFi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3" borderId="12" xfId="0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 shrinkToFit="1"/>
    </xf>
    <xf numFmtId="6" fontId="17" fillId="0" borderId="0" xfId="0" applyNumberFormat="1" applyFont="1" applyBorder="1" applyAlignment="1">
      <alignment horizontal="center" vertical="center" shrinkToFit="1"/>
    </xf>
    <xf numFmtId="0" fontId="17" fillId="0" borderId="0" xfId="0" applyFont="1" applyBorder="1" applyAlignment="1">
      <alignment horizontal="center" vertical="center" shrinkToFit="1"/>
    </xf>
    <xf numFmtId="49" fontId="17" fillId="0" borderId="0" xfId="0" applyNumberFormat="1" applyFont="1" applyBorder="1" applyAlignment="1">
      <alignment horizontal="center" vertical="center" shrinkToFit="1"/>
    </xf>
    <xf numFmtId="0" fontId="17" fillId="0" borderId="0" xfId="0" applyFont="1" applyFill="1" applyBorder="1" applyAlignment="1">
      <alignment horizontal="left" vertical="center" shrinkToFit="1"/>
    </xf>
    <xf numFmtId="6" fontId="17" fillId="0" borderId="0" xfId="0" applyNumberFormat="1" applyFont="1" applyFill="1" applyBorder="1" applyAlignment="1">
      <alignment horizontal="center" vertical="center" shrinkToFit="1"/>
    </xf>
    <xf numFmtId="178" fontId="18" fillId="6" borderId="0" xfId="0" applyNumberFormat="1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0" applyNumberFormat="1">
      <alignment vertical="center"/>
    </xf>
    <xf numFmtId="176" fontId="17" fillId="2" borderId="15" xfId="0" applyNumberFormat="1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17" fillId="0" borderId="10" xfId="0" applyFont="1" applyBorder="1" applyAlignment="1">
      <alignment horizontal="left" vertical="center" shrinkToFit="1"/>
    </xf>
    <xf numFmtId="0" fontId="6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21" fillId="0" borderId="0" xfId="0" applyFont="1">
      <alignment vertical="center"/>
    </xf>
  </cellXfs>
  <cellStyles count="1">
    <cellStyle name="표준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0" formatCode="&quot;₩&quot;#,##0;[Red]\-&quot;₩&quot;#,##0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left" vertical="center" textRotation="0" wrapText="0" indent="0" justifyLastLine="0" shrinkToFit="1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>
          <bgColor theme="0" tint="-0.14999847407452621"/>
        </patternFill>
      </fill>
    </dxf>
    <dxf>
      <fill>
        <patternFill patternType="solid">
          <bgColor rgb="FFFBD1DA"/>
        </patternFill>
      </fill>
    </dxf>
    <dxf>
      <fill>
        <patternFill patternType="solid">
          <bgColor rgb="FFFBD1DA"/>
        </patternFill>
      </fill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BD1DA"/>
      <color rgb="FFF375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jseo" refreshedDate="44299.571243634258" createdVersion="6" refreshedVersion="6" minRefreshableVersion="3" recordCount="21">
  <cacheSource type="worksheet">
    <worksheetSource name="표1"/>
  </cacheSource>
  <cacheFields count="10">
    <cacheField name="열1" numFmtId="0">
      <sharedItems containsSemiMixedTypes="0" containsString="0" containsNumber="1" containsInteger="1" minValue="1" maxValue="21"/>
    </cacheField>
    <cacheField name="소속" numFmtId="0">
      <sharedItems containsNonDate="0" containsBlank="1" count="15">
        <m/>
        <s v="응용개발그룹" u="1"/>
        <s v="국세AM사업부" u="1"/>
        <s v="PM1그룹" u="1"/>
        <s v="품질혁신그룹" u="1"/>
        <s v="AM재정사업부" u="1"/>
        <s v="빅데이터AI그룹" u="1"/>
        <s v="행정AM사업부" u="1"/>
        <s v="응용개발그룹 공공행정팀" u="1"/>
        <s v="인프라그룹" u="1"/>
        <s v="국세 AM사업부" u="1"/>
        <s v="권역IC그룹" u="1"/>
        <s v="재정AM사업부" u="1"/>
        <s v="아키텍처그룹" u="1"/>
        <s v="응용개발그룹 재정팀" u="1"/>
      </sharedItems>
    </cacheField>
    <cacheField name="이름" numFmtId="0">
      <sharedItems containsNonDate="0" containsString="0" containsBlank="1"/>
    </cacheField>
    <cacheField name="직급" numFmtId="0">
      <sharedItems containsNonDate="0" containsString="0" containsBlank="1"/>
    </cacheField>
    <cacheField name="우편번호" numFmtId="49">
      <sharedItems containsNonDate="0" containsString="0" containsBlank="1"/>
    </cacheField>
    <cacheField name="배송지(상주 근무지 주소)" numFmtId="0">
      <sharedItems containsNonDate="0" containsString="0" containsBlank="1"/>
    </cacheField>
    <cacheField name="도서명" numFmtId="0">
      <sharedItems containsNonDate="0" containsString="0" containsBlank="1"/>
    </cacheField>
    <cacheField name="저자명" numFmtId="0">
      <sharedItems containsNonDate="0" containsString="0" containsBlank="1"/>
    </cacheField>
    <cacheField name="출판사" numFmtId="0">
      <sharedItems containsNonDate="0" containsString="0" containsBlank="1"/>
    </cacheField>
    <cacheField name="가격(\)" numFmtId="6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x v="0"/>
    <m/>
    <m/>
    <m/>
    <m/>
    <m/>
    <m/>
    <m/>
    <m/>
  </r>
  <r>
    <n v="2"/>
    <x v="0"/>
    <m/>
    <m/>
    <m/>
    <m/>
    <m/>
    <m/>
    <m/>
    <m/>
  </r>
  <r>
    <n v="3"/>
    <x v="0"/>
    <m/>
    <m/>
    <m/>
    <m/>
    <m/>
    <m/>
    <m/>
    <m/>
  </r>
  <r>
    <n v="4"/>
    <x v="0"/>
    <m/>
    <m/>
    <m/>
    <m/>
    <m/>
    <m/>
    <m/>
    <m/>
  </r>
  <r>
    <n v="5"/>
    <x v="0"/>
    <m/>
    <m/>
    <m/>
    <m/>
    <m/>
    <m/>
    <m/>
    <m/>
  </r>
  <r>
    <n v="6"/>
    <x v="0"/>
    <m/>
    <m/>
    <m/>
    <m/>
    <m/>
    <m/>
    <m/>
    <m/>
  </r>
  <r>
    <n v="7"/>
    <x v="0"/>
    <m/>
    <m/>
    <m/>
    <m/>
    <m/>
    <m/>
    <m/>
    <m/>
  </r>
  <r>
    <n v="8"/>
    <x v="0"/>
    <m/>
    <m/>
    <m/>
    <m/>
    <m/>
    <m/>
    <m/>
    <m/>
  </r>
  <r>
    <n v="9"/>
    <x v="0"/>
    <m/>
    <m/>
    <m/>
    <m/>
    <m/>
    <m/>
    <m/>
    <m/>
  </r>
  <r>
    <n v="10"/>
    <x v="0"/>
    <m/>
    <m/>
    <m/>
    <m/>
    <m/>
    <m/>
    <m/>
    <m/>
  </r>
  <r>
    <n v="11"/>
    <x v="0"/>
    <m/>
    <m/>
    <m/>
    <m/>
    <m/>
    <m/>
    <m/>
    <m/>
  </r>
  <r>
    <n v="12"/>
    <x v="0"/>
    <m/>
    <m/>
    <m/>
    <m/>
    <m/>
    <m/>
    <m/>
    <m/>
  </r>
  <r>
    <n v="13"/>
    <x v="0"/>
    <m/>
    <m/>
    <m/>
    <m/>
    <m/>
    <m/>
    <m/>
    <m/>
  </r>
  <r>
    <n v="14"/>
    <x v="0"/>
    <m/>
    <m/>
    <m/>
    <m/>
    <m/>
    <m/>
    <m/>
    <m/>
  </r>
  <r>
    <n v="15"/>
    <x v="0"/>
    <m/>
    <m/>
    <m/>
    <m/>
    <m/>
    <m/>
    <m/>
    <m/>
  </r>
  <r>
    <n v="16"/>
    <x v="0"/>
    <m/>
    <m/>
    <m/>
    <m/>
    <m/>
    <m/>
    <m/>
    <m/>
  </r>
  <r>
    <n v="17"/>
    <x v="0"/>
    <m/>
    <m/>
    <m/>
    <m/>
    <m/>
    <m/>
    <m/>
    <m/>
  </r>
  <r>
    <n v="18"/>
    <x v="0"/>
    <m/>
    <m/>
    <m/>
    <m/>
    <m/>
    <m/>
    <m/>
    <m/>
  </r>
  <r>
    <n v="19"/>
    <x v="0"/>
    <m/>
    <m/>
    <m/>
    <m/>
    <m/>
    <m/>
    <m/>
    <m/>
  </r>
  <r>
    <n v="20"/>
    <x v="0"/>
    <m/>
    <m/>
    <m/>
    <m/>
    <m/>
    <m/>
    <m/>
    <m/>
  </r>
  <r>
    <n v="21"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M6:N7" firstHeaderRow="1" firstDataRow="1" firstDataCol="1"/>
  <pivotFields count="10">
    <pivotField showAll="0"/>
    <pivotField axis="axisRow" showAll="0">
      <items count="16">
        <item h="1" m="1" x="5"/>
        <item h="1" m="1" x="3"/>
        <item h="1" m="1" x="10"/>
        <item h="1" m="1" x="11"/>
        <item h="1" m="1" x="6"/>
        <item m="1" x="13"/>
        <item h="1" m="1" x="1"/>
        <item h="1" m="1" x="8"/>
        <item h="1" m="1" x="14"/>
        <item h="1" m="1" x="9"/>
        <item h="1" m="1" x="4"/>
        <item h="1" m="1" x="2"/>
        <item h="1" m="1" x="12"/>
        <item h="1" m="1" x="7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">
    <i t="grand">
      <x/>
    </i>
  </rowItems>
  <colItems count="1">
    <i/>
  </colItems>
  <dataFields count="1">
    <dataField name="누적사용액" fld="9" baseField="0" baseItem="0" numFmtId="41"/>
  </dataFields>
  <formats count="6">
    <format dxfId="20">
      <pivotArea outline="0" collapsedLevelsAreSubtotals="1" fieldPosition="0"/>
    </format>
    <format dxfId="19">
      <pivotArea collapsedLevelsAreSubtotals="1" fieldPosition="0">
        <references count="1">
          <reference field="1" count="3">
            <x v="11"/>
            <x v="12"/>
            <x v="13"/>
          </reference>
        </references>
      </pivotArea>
    </format>
    <format dxfId="18">
      <pivotArea dataOnly="0" labelOnly="1" fieldPosition="0">
        <references count="1">
          <reference field="1" count="3">
            <x v="11"/>
            <x v="12"/>
            <x v="13"/>
          </reference>
        </references>
      </pivotArea>
    </format>
    <format dxfId="17">
      <pivotArea dataOnly="0" fieldPosition="0">
        <references count="1">
          <reference field="1" count="3">
            <x v="11"/>
            <x v="12"/>
            <x v="13"/>
          </reference>
        </references>
      </pivotArea>
    </format>
    <format dxfId="16">
      <pivotArea collapsedLevelsAreSubtotals="1" fieldPosition="0">
        <references count="1">
          <reference field="1" count="10">
            <x v="0"/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">
      <pivotArea dataOnly="0" labelOnly="1" fieldPosition="0">
        <references count="1">
          <reference field="1" count="10">
            <x v="0"/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표1" displayName="표1" ref="B6:L16" totalsRowShown="0" headerRowDxfId="14" dataDxfId="12" headerRowBorderDxfId="13" tableBorderDxfId="11">
  <sortState ref="B7:K16">
    <sortCondition ref="F6:F16"/>
  </sortState>
  <tableColumns count="11">
    <tableColumn id="1" name="#" dataDxfId="10">
      <calculatedColumnFormula>ROW()-6</calculatedColumnFormula>
    </tableColumn>
    <tableColumn id="2" name="소속" dataDxfId="9"/>
    <tableColumn id="3" name="이름" dataDxfId="8"/>
    <tableColumn id="4" name="직급" dataDxfId="7"/>
    <tableColumn id="5" name="우편번호" dataDxfId="6"/>
    <tableColumn id="6" name="배송지(상주 근무지 주소)" dataDxfId="5"/>
    <tableColumn id="7" name="도서명" dataDxfId="4"/>
    <tableColumn id="8" name="저자명" dataDxfId="3"/>
    <tableColumn id="9" name="출판사" dataDxfId="2"/>
    <tableColumn id="10" name="가격(\)" dataDxfId="1"/>
    <tableColumn id="11" name="인터넷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tabSelected="1" topLeftCell="E1" zoomScale="85" zoomScaleNormal="85" workbookViewId="0">
      <selection activeCell="M12" sqref="M12"/>
    </sheetView>
  </sheetViews>
  <sheetFormatPr defaultColWidth="9" defaultRowHeight="15.6"/>
  <cols>
    <col min="1" max="1" width="0.8984375" style="19" customWidth="1"/>
    <col min="2" max="2" width="5.19921875" style="2" customWidth="1"/>
    <col min="3" max="3" width="19.19921875" style="18" customWidth="1"/>
    <col min="4" max="4" width="9.796875" style="18" bestFit="1" customWidth="1"/>
    <col min="5" max="5" width="7.59765625" style="18" customWidth="1"/>
    <col min="6" max="6" width="10.19921875" style="18" customWidth="1"/>
    <col min="7" max="7" width="35.796875" style="18" customWidth="1"/>
    <col min="8" max="8" width="59.09765625" style="18" customWidth="1"/>
    <col min="9" max="9" width="28.59765625" style="18" customWidth="1"/>
    <col min="10" max="10" width="16.19921875" style="18" customWidth="1"/>
    <col min="11" max="11" width="11.5" style="5" customWidth="1"/>
    <col min="12" max="12" width="23.59765625" style="19" customWidth="1"/>
    <col min="13" max="13" width="12.19921875" style="19" bestFit="1" customWidth="1"/>
    <col min="14" max="14" width="11" style="19" customWidth="1"/>
    <col min="15" max="16384" width="9" style="19"/>
  </cols>
  <sheetData>
    <row r="1" spans="2:14" ht="7.5" customHeight="1"/>
    <row r="2" spans="2:14" s="6" customFormat="1" ht="17.399999999999999">
      <c r="C2" s="7" t="s">
        <v>360</v>
      </c>
      <c r="K2" s="8"/>
    </row>
    <row r="3" spans="2:14" s="6" customFormat="1" ht="6.45" customHeight="1">
      <c r="C3" s="7"/>
      <c r="K3" s="8"/>
    </row>
    <row r="4" spans="2:14" ht="19.2">
      <c r="B4" s="42" t="s">
        <v>361</v>
      </c>
      <c r="D4" s="56">
        <v>44306</v>
      </c>
      <c r="K4" s="5">
        <f>SUBTOTAL(9,표1[가격(\)])</f>
        <v>0</v>
      </c>
      <c r="M4" s="68" t="s">
        <v>363</v>
      </c>
      <c r="N4" s="68"/>
    </row>
    <row r="5" spans="2:14">
      <c r="B5" s="3"/>
      <c r="C5" s="63" t="s">
        <v>2</v>
      </c>
      <c r="D5" s="64"/>
      <c r="E5" s="64"/>
      <c r="F5" s="64"/>
      <c r="G5" s="64"/>
      <c r="H5" s="65" t="s">
        <v>6</v>
      </c>
      <c r="I5" s="66"/>
      <c r="J5" s="66"/>
      <c r="K5" s="67"/>
      <c r="L5" s="61"/>
    </row>
    <row r="6" spans="2:14" ht="17.399999999999999">
      <c r="B6" s="43" t="s">
        <v>364</v>
      </c>
      <c r="C6" s="44" t="s">
        <v>355</v>
      </c>
      <c r="D6" s="45" t="s">
        <v>1</v>
      </c>
      <c r="E6" s="45" t="s">
        <v>0</v>
      </c>
      <c r="F6" s="45" t="s">
        <v>357</v>
      </c>
      <c r="G6" s="45" t="s">
        <v>356</v>
      </c>
      <c r="H6" s="46" t="s">
        <v>3</v>
      </c>
      <c r="I6" s="46" t="s">
        <v>5</v>
      </c>
      <c r="J6" s="46" t="s">
        <v>4</v>
      </c>
      <c r="K6" s="60" t="s">
        <v>7</v>
      </c>
      <c r="L6" s="46" t="s">
        <v>365</v>
      </c>
      <c r="M6" s="57" t="s">
        <v>358</v>
      </c>
      <c r="N6" t="s">
        <v>362</v>
      </c>
    </row>
    <row r="7" spans="2:14" ht="18" customHeight="1">
      <c r="B7" s="47">
        <f t="shared" ref="B7:B16" si="0">ROW()-6</f>
        <v>1</v>
      </c>
      <c r="C7" s="48"/>
      <c r="D7" s="48"/>
      <c r="E7" s="48" t="s">
        <v>366</v>
      </c>
      <c r="F7" s="49"/>
      <c r="G7" s="48"/>
      <c r="H7" s="48" t="s">
        <v>367</v>
      </c>
      <c r="I7" s="52" t="s">
        <v>368</v>
      </c>
      <c r="J7" s="48" t="s">
        <v>143</v>
      </c>
      <c r="K7" s="73" t="s">
        <v>369</v>
      </c>
      <c r="L7" s="62" t="s">
        <v>370</v>
      </c>
      <c r="M7" s="58" t="s">
        <v>359</v>
      </c>
      <c r="N7" s="59"/>
    </row>
    <row r="8" spans="2:14" ht="18" customHeight="1">
      <c r="B8" s="47">
        <f t="shared" si="0"/>
        <v>2</v>
      </c>
      <c r="C8" s="52"/>
      <c r="D8" s="52"/>
      <c r="E8" s="52"/>
      <c r="F8" s="49"/>
      <c r="G8" s="50"/>
      <c r="H8" s="50"/>
      <c r="I8" s="50"/>
      <c r="J8" s="50"/>
      <c r="K8" s="51"/>
      <c r="L8" s="62"/>
      <c r="M8"/>
      <c r="N8"/>
    </row>
    <row r="9" spans="2:14" ht="18" customHeight="1">
      <c r="B9" s="47">
        <f t="shared" si="0"/>
        <v>3</v>
      </c>
      <c r="C9" s="52"/>
      <c r="D9" s="52"/>
      <c r="E9" s="52"/>
      <c r="F9" s="49"/>
      <c r="G9" s="50"/>
      <c r="H9" s="50"/>
      <c r="I9" s="50"/>
      <c r="J9" s="50"/>
      <c r="K9" s="51"/>
      <c r="L9" s="62"/>
      <c r="M9"/>
      <c r="N9"/>
    </row>
    <row r="10" spans="2:14" ht="18" customHeight="1">
      <c r="B10" s="47">
        <f t="shared" si="0"/>
        <v>4</v>
      </c>
      <c r="C10" s="52"/>
      <c r="D10" s="52"/>
      <c r="E10" s="52"/>
      <c r="F10" s="49"/>
      <c r="G10" s="50"/>
      <c r="H10" s="54"/>
      <c r="I10" s="54"/>
      <c r="J10" s="54"/>
      <c r="K10" s="55"/>
      <c r="L10" s="62"/>
      <c r="M10"/>
      <c r="N10"/>
    </row>
    <row r="11" spans="2:14" ht="18" customHeight="1">
      <c r="B11" s="47">
        <f t="shared" si="0"/>
        <v>5</v>
      </c>
      <c r="C11" s="52"/>
      <c r="D11" s="52"/>
      <c r="E11" s="52"/>
      <c r="F11" s="49"/>
      <c r="G11" s="50"/>
      <c r="H11" s="50"/>
      <c r="I11" s="50"/>
      <c r="J11" s="50"/>
      <c r="K11" s="51"/>
      <c r="L11" s="62"/>
      <c r="M11"/>
      <c r="N11"/>
    </row>
    <row r="12" spans="2:14" ht="18" customHeight="1">
      <c r="B12" s="47">
        <f t="shared" si="0"/>
        <v>6</v>
      </c>
      <c r="C12" s="52"/>
      <c r="D12" s="52"/>
      <c r="E12" s="52"/>
      <c r="F12" s="49"/>
      <c r="G12" s="50"/>
      <c r="H12" s="50"/>
      <c r="I12" s="50"/>
      <c r="J12" s="50"/>
      <c r="K12" s="51"/>
      <c r="L12" s="62"/>
      <c r="M12"/>
      <c r="N12"/>
    </row>
    <row r="13" spans="2:14" ht="18" customHeight="1">
      <c r="B13" s="47">
        <f t="shared" si="0"/>
        <v>7</v>
      </c>
      <c r="C13" s="52"/>
      <c r="D13" s="52"/>
      <c r="E13" s="52"/>
      <c r="F13" s="53"/>
      <c r="G13" s="50"/>
      <c r="H13" s="50"/>
      <c r="I13" s="50"/>
      <c r="J13" s="50"/>
      <c r="K13" s="51"/>
      <c r="L13" s="62"/>
      <c r="M13"/>
      <c r="N13"/>
    </row>
    <row r="14" spans="2:14" ht="18" customHeight="1">
      <c r="B14" s="47">
        <f t="shared" si="0"/>
        <v>8</v>
      </c>
      <c r="C14" s="52"/>
      <c r="D14" s="52"/>
      <c r="E14" s="52"/>
      <c r="F14" s="53"/>
      <c r="G14" s="50"/>
      <c r="H14" s="50"/>
      <c r="I14" s="50"/>
      <c r="J14" s="50"/>
      <c r="K14" s="51"/>
      <c r="L14" s="62"/>
      <c r="M14"/>
      <c r="N14"/>
    </row>
    <row r="15" spans="2:14" ht="18" customHeight="1" thickBot="1">
      <c r="B15" s="47">
        <f t="shared" si="0"/>
        <v>9</v>
      </c>
      <c r="C15" s="52"/>
      <c r="D15" s="52"/>
      <c r="E15" s="52"/>
      <c r="F15" s="53"/>
      <c r="G15" s="50"/>
      <c r="H15" s="50"/>
      <c r="I15" s="50"/>
      <c r="J15" s="50"/>
      <c r="K15" s="51"/>
      <c r="L15" s="62"/>
      <c r="M15"/>
      <c r="N15"/>
    </row>
    <row r="16" spans="2:14" ht="18" customHeight="1">
      <c r="B16" s="47">
        <f t="shared" si="0"/>
        <v>10</v>
      </c>
      <c r="C16" s="52"/>
      <c r="D16" s="52"/>
      <c r="E16" s="52"/>
      <c r="F16" s="53"/>
      <c r="G16" s="50"/>
      <c r="H16" s="50"/>
      <c r="I16" s="50"/>
      <c r="J16" s="50"/>
      <c r="K16" s="51"/>
      <c r="L16" s="62"/>
      <c r="M16"/>
      <c r="N16"/>
    </row>
    <row r="17" spans="11:11">
      <c r="K17" s="10">
        <f>SUM(K7:K16)</f>
        <v>0</v>
      </c>
    </row>
    <row r="19" spans="11:11">
      <c r="K19" s="19"/>
    </row>
  </sheetData>
  <mergeCells count="3">
    <mergeCell ref="C5:G5"/>
    <mergeCell ref="H5:K5"/>
    <mergeCell ref="M4:N4"/>
  </mergeCells>
  <phoneticPr fontId="1" type="noConversion"/>
  <pageMargins left="0.7" right="0.7" top="0.75" bottom="0.75" header="0.3" footer="0.3"/>
  <pageSetup paperSize="9" orientation="portrait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J99"/>
  <sheetViews>
    <sheetView showGridLines="0" topLeftCell="A76" zoomScaleNormal="100" workbookViewId="0">
      <selection activeCell="F13" sqref="F13"/>
    </sheetView>
  </sheetViews>
  <sheetFormatPr defaultColWidth="9" defaultRowHeight="15.6"/>
  <cols>
    <col min="1" max="1" width="5.09765625" style="1" customWidth="1"/>
    <col min="2" max="2" width="3.296875" style="2" customWidth="1"/>
    <col min="3" max="3" width="18.296875" style="4" customWidth="1"/>
    <col min="4" max="4" width="12.296875" style="4" customWidth="1"/>
    <col min="5" max="5" width="6.19921875" style="4" customWidth="1"/>
    <col min="6" max="6" width="52.5" style="4" customWidth="1"/>
    <col min="7" max="7" width="54.09765625" style="4" customWidth="1"/>
    <col min="8" max="8" width="28.59765625" style="4" customWidth="1"/>
    <col min="9" max="9" width="16.19921875" style="4" customWidth="1"/>
    <col min="10" max="10" width="11.5" style="5" customWidth="1"/>
    <col min="11" max="16384" width="9" style="1"/>
  </cols>
  <sheetData>
    <row r="3" spans="2:10" s="6" customFormat="1" ht="17.399999999999999">
      <c r="C3" s="7" t="s">
        <v>9</v>
      </c>
      <c r="J3" s="8">
        <v>43812</v>
      </c>
    </row>
    <row r="4" spans="2:10" ht="16.2" thickBot="1"/>
    <row r="5" spans="2:10" ht="16.8" thickTop="1" thickBot="1">
      <c r="B5" s="3"/>
      <c r="C5" s="71" t="s">
        <v>2</v>
      </c>
      <c r="D5" s="72"/>
      <c r="E5" s="72"/>
      <c r="F5" s="72"/>
      <c r="G5" s="69" t="s">
        <v>6</v>
      </c>
      <c r="H5" s="70"/>
      <c r="I5" s="70"/>
      <c r="J5" s="70"/>
    </row>
    <row r="6" spans="2:10" ht="16.8" thickTop="1" thickBot="1">
      <c r="B6" s="38"/>
      <c r="C6" s="37" t="s">
        <v>10</v>
      </c>
      <c r="D6" s="37" t="s">
        <v>1</v>
      </c>
      <c r="E6" s="37" t="s">
        <v>0</v>
      </c>
      <c r="F6" s="37" t="s">
        <v>8</v>
      </c>
      <c r="G6" s="40" t="s">
        <v>3</v>
      </c>
      <c r="H6" s="40" t="s">
        <v>5</v>
      </c>
      <c r="I6" s="40" t="s">
        <v>4</v>
      </c>
      <c r="J6" s="41" t="s">
        <v>7</v>
      </c>
    </row>
    <row r="7" spans="2:10" ht="16.8" thickTop="1" thickBot="1">
      <c r="B7" s="37">
        <f>ROW()-6</f>
        <v>1</v>
      </c>
      <c r="C7" s="39" t="s">
        <v>43</v>
      </c>
      <c r="D7" s="39" t="s">
        <v>297</v>
      </c>
      <c r="E7" s="39" t="s">
        <v>19</v>
      </c>
      <c r="F7" s="13" t="s">
        <v>300</v>
      </c>
      <c r="G7" s="13" t="s">
        <v>301</v>
      </c>
      <c r="H7" s="13" t="s">
        <v>335</v>
      </c>
      <c r="I7" s="13" t="s">
        <v>150</v>
      </c>
      <c r="J7" s="31">
        <v>45000</v>
      </c>
    </row>
    <row r="8" spans="2:10" ht="16.8" thickTop="1" thickBot="1">
      <c r="B8" s="37">
        <f t="shared" ref="B8:B71" si="0">ROW()-6</f>
        <v>2</v>
      </c>
      <c r="C8" s="23" t="s">
        <v>43</v>
      </c>
      <c r="D8" s="23" t="s">
        <v>299</v>
      </c>
      <c r="E8" s="23" t="s">
        <v>138</v>
      </c>
      <c r="F8" s="24" t="s">
        <v>298</v>
      </c>
      <c r="G8" s="24" t="s">
        <v>210</v>
      </c>
      <c r="H8" s="24" t="s">
        <v>149</v>
      </c>
      <c r="I8" s="24" t="s">
        <v>150</v>
      </c>
      <c r="J8" s="25">
        <v>45000</v>
      </c>
    </row>
    <row r="9" spans="2:10" ht="16.8" thickTop="1" thickBot="1">
      <c r="B9" s="37">
        <f t="shared" si="0"/>
        <v>3</v>
      </c>
      <c r="C9" s="26" t="s">
        <v>43</v>
      </c>
      <c r="D9" s="26" t="s">
        <v>48</v>
      </c>
      <c r="E9" s="26" t="s">
        <v>24</v>
      </c>
      <c r="F9" s="27" t="s">
        <v>49</v>
      </c>
      <c r="G9" s="27" t="s">
        <v>50</v>
      </c>
      <c r="H9" s="27" t="s">
        <v>51</v>
      </c>
      <c r="I9" s="27" t="s">
        <v>52</v>
      </c>
      <c r="J9" s="28">
        <v>41400</v>
      </c>
    </row>
    <row r="10" spans="2:10" ht="16.8" thickTop="1" thickBot="1">
      <c r="B10" s="37">
        <f t="shared" si="0"/>
        <v>4</v>
      </c>
      <c r="C10" s="20" t="s">
        <v>72</v>
      </c>
      <c r="D10" s="20" t="s">
        <v>227</v>
      </c>
      <c r="E10" s="20" t="s">
        <v>30</v>
      </c>
      <c r="F10" s="29" t="s">
        <v>354</v>
      </c>
      <c r="G10" s="29" t="s">
        <v>310</v>
      </c>
      <c r="H10" s="21" t="s">
        <v>245</v>
      </c>
      <c r="I10" s="29" t="s">
        <v>185</v>
      </c>
      <c r="J10" s="30">
        <v>25200</v>
      </c>
    </row>
    <row r="11" spans="2:10" ht="16.8" thickTop="1" thickBot="1">
      <c r="B11" s="37">
        <f t="shared" si="0"/>
        <v>5</v>
      </c>
      <c r="C11" s="12" t="s">
        <v>72</v>
      </c>
      <c r="D11" s="12" t="s">
        <v>229</v>
      </c>
      <c r="E11" s="12" t="s">
        <v>24</v>
      </c>
      <c r="F11" s="13" t="s">
        <v>353</v>
      </c>
      <c r="G11" s="13" t="s">
        <v>230</v>
      </c>
      <c r="H11" s="13" t="s">
        <v>318</v>
      </c>
      <c r="I11" s="13" t="s">
        <v>231</v>
      </c>
      <c r="J11" s="31">
        <v>36000</v>
      </c>
    </row>
    <row r="12" spans="2:10" ht="16.8" thickTop="1" thickBot="1">
      <c r="B12" s="37">
        <f t="shared" si="0"/>
        <v>6</v>
      </c>
      <c r="C12" s="12" t="s">
        <v>73</v>
      </c>
      <c r="D12" s="12" t="s">
        <v>71</v>
      </c>
      <c r="E12" s="12" t="s">
        <v>74</v>
      </c>
      <c r="F12" s="13" t="s">
        <v>78</v>
      </c>
      <c r="G12" s="13" t="s">
        <v>75</v>
      </c>
      <c r="H12" s="13" t="s">
        <v>77</v>
      </c>
      <c r="I12" s="13" t="s">
        <v>76</v>
      </c>
      <c r="J12" s="32">
        <v>17820</v>
      </c>
    </row>
    <row r="13" spans="2:10" ht="16.8" thickTop="1" thickBot="1">
      <c r="B13" s="37">
        <f t="shared" si="0"/>
        <v>7</v>
      </c>
      <c r="C13" s="12" t="s">
        <v>73</v>
      </c>
      <c r="D13" s="12" t="s">
        <v>79</v>
      </c>
      <c r="E13" s="12" t="s">
        <v>24</v>
      </c>
      <c r="F13" s="13" t="s">
        <v>78</v>
      </c>
      <c r="G13" s="13" t="s">
        <v>80</v>
      </c>
      <c r="H13" s="13" t="s">
        <v>81</v>
      </c>
      <c r="I13" s="13" t="s">
        <v>82</v>
      </c>
      <c r="J13" s="31">
        <v>32000</v>
      </c>
    </row>
    <row r="14" spans="2:10" ht="16.8" thickTop="1" thickBot="1">
      <c r="B14" s="37">
        <f t="shared" si="0"/>
        <v>8</v>
      </c>
      <c r="C14" s="33" t="s">
        <v>17</v>
      </c>
      <c r="D14" s="33" t="s">
        <v>88</v>
      </c>
      <c r="E14" s="33" t="s">
        <v>19</v>
      </c>
      <c r="F14" s="24" t="s">
        <v>78</v>
      </c>
      <c r="G14" s="24" t="s">
        <v>312</v>
      </c>
      <c r="H14" s="24" t="s">
        <v>89</v>
      </c>
      <c r="I14" s="24" t="s">
        <v>90</v>
      </c>
      <c r="J14" s="25">
        <v>25200</v>
      </c>
    </row>
    <row r="15" spans="2:10" ht="16.8" thickTop="1" thickBot="1">
      <c r="B15" s="37">
        <f t="shared" si="0"/>
        <v>9</v>
      </c>
      <c r="C15" s="26" t="s">
        <v>43</v>
      </c>
      <c r="D15" s="26" t="s">
        <v>186</v>
      </c>
      <c r="E15" s="26" t="s">
        <v>19</v>
      </c>
      <c r="F15" s="27" t="s">
        <v>226</v>
      </c>
      <c r="G15" s="27" t="s">
        <v>187</v>
      </c>
      <c r="H15" s="27" t="s">
        <v>188</v>
      </c>
      <c r="I15" s="27" t="s">
        <v>189</v>
      </c>
      <c r="J15" s="28">
        <v>22500</v>
      </c>
    </row>
    <row r="16" spans="2:10" s="14" customFormat="1" ht="16.8" thickTop="1" thickBot="1">
      <c r="B16" s="37">
        <f t="shared" si="0"/>
        <v>10</v>
      </c>
      <c r="C16" s="34" t="s">
        <v>61</v>
      </c>
      <c r="D16" s="34" t="s">
        <v>190</v>
      </c>
      <c r="E16" s="34" t="s">
        <v>24</v>
      </c>
      <c r="F16" s="21" t="s">
        <v>220</v>
      </c>
      <c r="G16" s="21" t="s">
        <v>316</v>
      </c>
      <c r="H16" s="21" t="s">
        <v>191</v>
      </c>
      <c r="I16" s="21" t="s">
        <v>192</v>
      </c>
      <c r="J16" s="22">
        <v>26880</v>
      </c>
    </row>
    <row r="17" spans="2:10" ht="16.8" thickTop="1" thickBot="1">
      <c r="B17" s="37">
        <f t="shared" si="0"/>
        <v>11</v>
      </c>
      <c r="C17" s="26" t="s">
        <v>61</v>
      </c>
      <c r="D17" s="26" t="s">
        <v>103</v>
      </c>
      <c r="E17" s="26" t="s">
        <v>39</v>
      </c>
      <c r="F17" s="27" t="s">
        <v>221</v>
      </c>
      <c r="G17" s="27" t="s">
        <v>317</v>
      </c>
      <c r="H17" s="27" t="s">
        <v>104</v>
      </c>
      <c r="I17" s="27" t="s">
        <v>105</v>
      </c>
      <c r="J17" s="28">
        <v>28800</v>
      </c>
    </row>
    <row r="18" spans="2:10" ht="16.8" thickTop="1" thickBot="1">
      <c r="B18" s="37">
        <f t="shared" si="0"/>
        <v>12</v>
      </c>
      <c r="C18" s="33" t="s">
        <v>61</v>
      </c>
      <c r="D18" s="33" t="s">
        <v>228</v>
      </c>
      <c r="E18" s="33" t="s">
        <v>19</v>
      </c>
      <c r="F18" s="24" t="s">
        <v>296</v>
      </c>
      <c r="G18" s="35" t="s">
        <v>321</v>
      </c>
      <c r="H18" s="35" t="s">
        <v>322</v>
      </c>
      <c r="I18" s="35" t="s">
        <v>323</v>
      </c>
      <c r="J18" s="36">
        <v>17820</v>
      </c>
    </row>
    <row r="19" spans="2:10" ht="16.8" thickTop="1" thickBot="1">
      <c r="B19" s="37">
        <f t="shared" si="0"/>
        <v>13</v>
      </c>
      <c r="C19" s="26" t="s">
        <v>61</v>
      </c>
      <c r="D19" s="26" t="s">
        <v>62</v>
      </c>
      <c r="E19" s="26" t="s">
        <v>39</v>
      </c>
      <c r="F19" s="27" t="s">
        <v>222</v>
      </c>
      <c r="G19" s="27" t="s">
        <v>63</v>
      </c>
      <c r="H19" s="27" t="s">
        <v>64</v>
      </c>
      <c r="I19" s="27" t="s">
        <v>65</v>
      </c>
      <c r="J19" s="28">
        <v>45000</v>
      </c>
    </row>
    <row r="20" spans="2:10" s="15" customFormat="1" ht="16.8" thickTop="1" thickBot="1">
      <c r="B20" s="37">
        <f t="shared" si="0"/>
        <v>14</v>
      </c>
      <c r="C20" s="34" t="s">
        <v>53</v>
      </c>
      <c r="D20" s="34" t="s">
        <v>54</v>
      </c>
      <c r="E20" s="34" t="s">
        <v>55</v>
      </c>
      <c r="F20" s="21" t="s">
        <v>279</v>
      </c>
      <c r="G20" s="21" t="s">
        <v>343</v>
      </c>
      <c r="H20" s="21" t="s">
        <v>204</v>
      </c>
      <c r="I20" s="21" t="s">
        <v>56</v>
      </c>
      <c r="J20" s="22">
        <v>54000</v>
      </c>
    </row>
    <row r="21" spans="2:10" ht="16.8" thickTop="1" thickBot="1">
      <c r="B21" s="37">
        <f t="shared" si="0"/>
        <v>15</v>
      </c>
      <c r="C21" s="33" t="s">
        <v>112</v>
      </c>
      <c r="D21" s="33" t="s">
        <v>275</v>
      </c>
      <c r="E21" s="33" t="s">
        <v>39</v>
      </c>
      <c r="F21" s="24" t="s">
        <v>279</v>
      </c>
      <c r="G21" s="24" t="s">
        <v>295</v>
      </c>
      <c r="H21" s="24" t="s">
        <v>139</v>
      </c>
      <c r="I21" s="24" t="s">
        <v>140</v>
      </c>
      <c r="J21" s="25">
        <v>31500</v>
      </c>
    </row>
    <row r="22" spans="2:10" ht="16.8" thickTop="1" thickBot="1">
      <c r="B22" s="37">
        <f t="shared" si="0"/>
        <v>16</v>
      </c>
      <c r="C22" s="34" t="s">
        <v>53</v>
      </c>
      <c r="D22" s="34" t="s">
        <v>198</v>
      </c>
      <c r="E22" s="34" t="s">
        <v>199</v>
      </c>
      <c r="F22" s="21" t="s">
        <v>218</v>
      </c>
      <c r="G22" s="21" t="s">
        <v>208</v>
      </c>
      <c r="H22" s="21" t="s">
        <v>200</v>
      </c>
      <c r="I22" s="21" t="s">
        <v>201</v>
      </c>
      <c r="J22" s="22">
        <v>13500</v>
      </c>
    </row>
    <row r="23" spans="2:10" s="9" customFormat="1" ht="16.8" thickTop="1" thickBot="1">
      <c r="B23" s="37">
        <f t="shared" si="0"/>
        <v>17</v>
      </c>
      <c r="C23" s="12" t="s">
        <v>112</v>
      </c>
      <c r="D23" s="12" t="s">
        <v>165</v>
      </c>
      <c r="E23" s="12" t="s">
        <v>30</v>
      </c>
      <c r="F23" s="13" t="s">
        <v>219</v>
      </c>
      <c r="G23" s="13" t="s">
        <v>166</v>
      </c>
      <c r="H23" s="13" t="s">
        <v>167</v>
      </c>
      <c r="I23" s="13" t="s">
        <v>168</v>
      </c>
      <c r="J23" s="31">
        <v>18000</v>
      </c>
    </row>
    <row r="24" spans="2:10" ht="16.8" thickTop="1" thickBot="1">
      <c r="B24" s="37">
        <f t="shared" si="0"/>
        <v>18</v>
      </c>
      <c r="C24" s="12" t="s">
        <v>72</v>
      </c>
      <c r="D24" s="12" t="s">
        <v>100</v>
      </c>
      <c r="E24" s="12" t="s">
        <v>30</v>
      </c>
      <c r="F24" s="13" t="s">
        <v>218</v>
      </c>
      <c r="G24" s="13" t="s">
        <v>101</v>
      </c>
      <c r="H24" s="13" t="s">
        <v>349</v>
      </c>
      <c r="I24" s="13" t="s">
        <v>102</v>
      </c>
      <c r="J24" s="31">
        <v>54000</v>
      </c>
    </row>
    <row r="25" spans="2:10" ht="16.8" thickTop="1" thickBot="1">
      <c r="B25" s="37">
        <f t="shared" si="0"/>
        <v>19</v>
      </c>
      <c r="C25" s="12" t="s">
        <v>43</v>
      </c>
      <c r="D25" s="12" t="s">
        <v>117</v>
      </c>
      <c r="E25" s="12" t="s">
        <v>24</v>
      </c>
      <c r="F25" s="13" t="s">
        <v>218</v>
      </c>
      <c r="G25" s="13" t="s">
        <v>336</v>
      </c>
      <c r="H25" s="13" t="s">
        <v>118</v>
      </c>
      <c r="I25" s="13" t="s">
        <v>338</v>
      </c>
      <c r="J25" s="31">
        <v>37800</v>
      </c>
    </row>
    <row r="26" spans="2:10" ht="16.8" thickTop="1" thickBot="1">
      <c r="B26" s="37">
        <f t="shared" si="0"/>
        <v>20</v>
      </c>
      <c r="C26" s="12" t="s">
        <v>61</v>
      </c>
      <c r="D26" s="12" t="s">
        <v>83</v>
      </c>
      <c r="E26" s="12" t="s">
        <v>84</v>
      </c>
      <c r="F26" s="13" t="s">
        <v>218</v>
      </c>
      <c r="G26" s="13" t="s">
        <v>85</v>
      </c>
      <c r="H26" s="13" t="s">
        <v>86</v>
      </c>
      <c r="I26" s="13" t="s">
        <v>87</v>
      </c>
      <c r="J26" s="31">
        <v>14400</v>
      </c>
    </row>
    <row r="27" spans="2:10" ht="16.8" thickTop="1" thickBot="1">
      <c r="B27" s="37">
        <f t="shared" si="0"/>
        <v>21</v>
      </c>
      <c r="C27" s="12" t="s">
        <v>43</v>
      </c>
      <c r="D27" s="12" t="s">
        <v>95</v>
      </c>
      <c r="E27" s="12" t="s">
        <v>24</v>
      </c>
      <c r="F27" s="13" t="s">
        <v>218</v>
      </c>
      <c r="G27" s="13" t="s">
        <v>96</v>
      </c>
      <c r="H27" s="13" t="s">
        <v>97</v>
      </c>
      <c r="I27" s="13" t="s">
        <v>93</v>
      </c>
      <c r="J27" s="31">
        <v>22500</v>
      </c>
    </row>
    <row r="28" spans="2:10" s="19" customFormat="1" ht="16.8" thickTop="1" thickBot="1">
      <c r="B28" s="37">
        <f t="shared" si="0"/>
        <v>22</v>
      </c>
      <c r="C28" s="33" t="s">
        <v>350</v>
      </c>
      <c r="D28" s="33" t="s">
        <v>351</v>
      </c>
      <c r="E28" s="33" t="s">
        <v>352</v>
      </c>
      <c r="F28" s="24" t="s">
        <v>218</v>
      </c>
      <c r="G28" s="24" t="s">
        <v>212</v>
      </c>
      <c r="H28" s="24" t="s">
        <v>139</v>
      </c>
      <c r="I28" s="24" t="s">
        <v>140</v>
      </c>
      <c r="J28" s="25">
        <v>27900</v>
      </c>
    </row>
    <row r="29" spans="2:10" ht="16.8" thickTop="1" thickBot="1">
      <c r="B29" s="37">
        <f t="shared" si="0"/>
        <v>23</v>
      </c>
      <c r="C29" s="26" t="s">
        <v>112</v>
      </c>
      <c r="D29" s="26" t="s">
        <v>182</v>
      </c>
      <c r="E29" s="26" t="s">
        <v>19</v>
      </c>
      <c r="F29" s="27" t="s">
        <v>223</v>
      </c>
      <c r="G29" s="27" t="s">
        <v>208</v>
      </c>
      <c r="H29" s="27" t="s">
        <v>145</v>
      </c>
      <c r="I29" s="27" t="s">
        <v>146</v>
      </c>
      <c r="J29" s="28">
        <v>13500</v>
      </c>
    </row>
    <row r="30" spans="2:10" ht="16.8" thickTop="1" thickBot="1">
      <c r="B30" s="37">
        <f t="shared" si="0"/>
        <v>24</v>
      </c>
      <c r="C30" s="26" t="s">
        <v>17</v>
      </c>
      <c r="D30" s="26" t="s">
        <v>23</v>
      </c>
      <c r="E30" s="26" t="s">
        <v>24</v>
      </c>
      <c r="F30" s="27" t="s">
        <v>224</v>
      </c>
      <c r="G30" s="27" t="s">
        <v>25</v>
      </c>
      <c r="H30" s="27" t="s">
        <v>26</v>
      </c>
      <c r="I30" s="27" t="s">
        <v>27</v>
      </c>
      <c r="J30" s="28">
        <v>43200</v>
      </c>
    </row>
    <row r="31" spans="2:10" ht="16.8" thickTop="1" thickBot="1">
      <c r="B31" s="37">
        <f t="shared" si="0"/>
        <v>25</v>
      </c>
      <c r="C31" s="34" t="s">
        <v>193</v>
      </c>
      <c r="D31" s="34" t="s">
        <v>305</v>
      </c>
      <c r="E31" s="34" t="s">
        <v>55</v>
      </c>
      <c r="F31" s="21" t="s">
        <v>216</v>
      </c>
      <c r="G31" s="21" t="s">
        <v>306</v>
      </c>
      <c r="H31" s="21" t="s">
        <v>307</v>
      </c>
      <c r="I31" s="21" t="s">
        <v>308</v>
      </c>
      <c r="J31" s="22">
        <v>28800</v>
      </c>
    </row>
    <row r="32" spans="2:10" ht="16.8" thickTop="1" thickBot="1">
      <c r="B32" s="37">
        <f t="shared" si="0"/>
        <v>26</v>
      </c>
      <c r="C32" s="12" t="s">
        <v>11</v>
      </c>
      <c r="D32" s="12" t="s">
        <v>12</v>
      </c>
      <c r="E32" s="12" t="s">
        <v>13</v>
      </c>
      <c r="F32" s="13" t="s">
        <v>216</v>
      </c>
      <c r="G32" s="13" t="s">
        <v>14</v>
      </c>
      <c r="H32" s="13" t="s">
        <v>15</v>
      </c>
      <c r="I32" s="13" t="s">
        <v>16</v>
      </c>
      <c r="J32" s="32">
        <v>15300</v>
      </c>
    </row>
    <row r="33" spans="2:10" ht="16.8" thickTop="1" thickBot="1">
      <c r="B33" s="37">
        <f t="shared" si="0"/>
        <v>27</v>
      </c>
      <c r="C33" s="12" t="s">
        <v>202</v>
      </c>
      <c r="D33" s="12" t="s">
        <v>91</v>
      </c>
      <c r="E33" s="12" t="s">
        <v>30</v>
      </c>
      <c r="F33" s="13" t="s">
        <v>216</v>
      </c>
      <c r="G33" s="13" t="s">
        <v>313</v>
      </c>
      <c r="H33" s="13" t="s">
        <v>92</v>
      </c>
      <c r="I33" s="13" t="s">
        <v>93</v>
      </c>
      <c r="J33" s="31">
        <v>21600</v>
      </c>
    </row>
    <row r="34" spans="2:10" ht="16.8" thickTop="1" thickBot="1">
      <c r="B34" s="37">
        <f t="shared" si="0"/>
        <v>28</v>
      </c>
      <c r="C34" s="33" t="s">
        <v>11</v>
      </c>
      <c r="D34" s="33" t="s">
        <v>302</v>
      </c>
      <c r="E34" s="33" t="s">
        <v>195</v>
      </c>
      <c r="F34" s="24" t="s">
        <v>216</v>
      </c>
      <c r="G34" s="24" t="s">
        <v>303</v>
      </c>
      <c r="H34" s="24" t="s">
        <v>41</v>
      </c>
      <c r="I34" s="24" t="s">
        <v>304</v>
      </c>
      <c r="J34" s="25">
        <v>36900</v>
      </c>
    </row>
    <row r="35" spans="2:10" ht="16.8" thickTop="1" thickBot="1">
      <c r="B35" s="37">
        <f t="shared" si="0"/>
        <v>29</v>
      </c>
      <c r="C35" s="34" t="s">
        <v>72</v>
      </c>
      <c r="D35" s="34" t="s">
        <v>176</v>
      </c>
      <c r="E35" s="34" t="s">
        <v>24</v>
      </c>
      <c r="F35" s="21" t="s">
        <v>172</v>
      </c>
      <c r="G35" s="21" t="s">
        <v>177</v>
      </c>
      <c r="H35" s="21" t="s">
        <v>178</v>
      </c>
      <c r="I35" s="21" t="s">
        <v>175</v>
      </c>
      <c r="J35" s="22">
        <v>49500</v>
      </c>
    </row>
    <row r="36" spans="2:10" ht="16.8" thickTop="1" thickBot="1">
      <c r="B36" s="37">
        <f t="shared" si="0"/>
        <v>30</v>
      </c>
      <c r="C36" s="12" t="s">
        <v>112</v>
      </c>
      <c r="D36" s="12" t="s">
        <v>113</v>
      </c>
      <c r="E36" s="12" t="s">
        <v>30</v>
      </c>
      <c r="F36" s="13" t="s">
        <v>172</v>
      </c>
      <c r="G36" s="13" t="s">
        <v>114</v>
      </c>
      <c r="H36" s="13" t="s">
        <v>115</v>
      </c>
      <c r="I36" s="13" t="s">
        <v>116</v>
      </c>
      <c r="J36" s="31">
        <v>24000</v>
      </c>
    </row>
    <row r="37" spans="2:10" ht="16.8" thickTop="1" thickBot="1">
      <c r="B37" s="37">
        <f t="shared" si="0"/>
        <v>31</v>
      </c>
      <c r="C37" s="12" t="s">
        <v>72</v>
      </c>
      <c r="D37" s="12" t="s">
        <v>171</v>
      </c>
      <c r="E37" s="12" t="s">
        <v>19</v>
      </c>
      <c r="F37" s="13" t="s">
        <v>172</v>
      </c>
      <c r="G37" s="13" t="s">
        <v>173</v>
      </c>
      <c r="H37" s="13" t="s">
        <v>174</v>
      </c>
      <c r="I37" s="13" t="s">
        <v>175</v>
      </c>
      <c r="J37" s="31">
        <v>16200</v>
      </c>
    </row>
    <row r="38" spans="2:10" ht="16.8" thickTop="1" thickBot="1">
      <c r="B38" s="37">
        <f t="shared" si="0"/>
        <v>32</v>
      </c>
      <c r="C38" s="33" t="s">
        <v>72</v>
      </c>
      <c r="D38" s="33" t="s">
        <v>179</v>
      </c>
      <c r="E38" s="33" t="s">
        <v>24</v>
      </c>
      <c r="F38" s="24" t="s">
        <v>172</v>
      </c>
      <c r="G38" s="24" t="s">
        <v>180</v>
      </c>
      <c r="H38" s="24" t="s">
        <v>181</v>
      </c>
      <c r="I38" s="24" t="s">
        <v>175</v>
      </c>
      <c r="J38" s="25">
        <v>29700</v>
      </c>
    </row>
    <row r="39" spans="2:10" ht="16.8" thickTop="1" thickBot="1">
      <c r="B39" s="37">
        <f t="shared" si="0"/>
        <v>33</v>
      </c>
      <c r="C39" s="34" t="s">
        <v>34</v>
      </c>
      <c r="D39" s="34" t="s">
        <v>35</v>
      </c>
      <c r="E39" s="34" t="s">
        <v>24</v>
      </c>
      <c r="F39" s="21" t="s">
        <v>309</v>
      </c>
      <c r="G39" s="21" t="s">
        <v>315</v>
      </c>
      <c r="H39" s="21" t="s">
        <v>36</v>
      </c>
      <c r="I39" s="21" t="s">
        <v>314</v>
      </c>
      <c r="J39" s="22">
        <v>25200</v>
      </c>
    </row>
    <row r="40" spans="2:10" ht="16.8" thickTop="1" thickBot="1">
      <c r="B40" s="37">
        <f t="shared" si="0"/>
        <v>34</v>
      </c>
      <c r="C40" s="12" t="s">
        <v>28</v>
      </c>
      <c r="D40" s="12" t="s">
        <v>29</v>
      </c>
      <c r="E40" s="12" t="s">
        <v>30</v>
      </c>
      <c r="F40" s="13" t="s">
        <v>309</v>
      </c>
      <c r="G40" s="13" t="s">
        <v>342</v>
      </c>
      <c r="H40" s="13" t="s">
        <v>347</v>
      </c>
      <c r="I40" s="13" t="s">
        <v>203</v>
      </c>
      <c r="J40" s="31">
        <v>29700</v>
      </c>
    </row>
    <row r="41" spans="2:10" ht="16.8" thickTop="1" thickBot="1">
      <c r="B41" s="37">
        <f t="shared" si="0"/>
        <v>35</v>
      </c>
      <c r="C41" s="33" t="s">
        <v>28</v>
      </c>
      <c r="D41" s="33" t="s">
        <v>31</v>
      </c>
      <c r="E41" s="33" t="s">
        <v>30</v>
      </c>
      <c r="F41" s="24" t="s">
        <v>309</v>
      </c>
      <c r="G41" s="24" t="s">
        <v>340</v>
      </c>
      <c r="H41" s="24" t="s">
        <v>32</v>
      </c>
      <c r="I41" s="24" t="s">
        <v>33</v>
      </c>
      <c r="J41" s="25">
        <v>21600</v>
      </c>
    </row>
    <row r="42" spans="2:10" ht="16.8" thickTop="1" thickBot="1">
      <c r="B42" s="37">
        <f t="shared" si="0"/>
        <v>36</v>
      </c>
      <c r="C42" s="34" t="s">
        <v>193</v>
      </c>
      <c r="D42" s="34" t="s">
        <v>194</v>
      </c>
      <c r="E42" s="34" t="s">
        <v>195</v>
      </c>
      <c r="F42" s="21" t="s">
        <v>348</v>
      </c>
      <c r="G42" s="21" t="s">
        <v>196</v>
      </c>
      <c r="H42" s="21" t="s">
        <v>197</v>
      </c>
      <c r="I42" s="21" t="s">
        <v>56</v>
      </c>
      <c r="J42" s="22">
        <v>16200</v>
      </c>
    </row>
    <row r="43" spans="2:10" ht="16.8" thickTop="1" thickBot="1">
      <c r="B43" s="37">
        <f t="shared" si="0"/>
        <v>37</v>
      </c>
      <c r="C43" s="12" t="s">
        <v>53</v>
      </c>
      <c r="D43" s="12" t="s">
        <v>276</v>
      </c>
      <c r="E43" s="12" t="s">
        <v>24</v>
      </c>
      <c r="F43" s="13" t="s">
        <v>348</v>
      </c>
      <c r="G43" s="13" t="s">
        <v>329</v>
      </c>
      <c r="H43" s="13" t="s">
        <v>107</v>
      </c>
      <c r="I43" s="13" t="s">
        <v>108</v>
      </c>
      <c r="J43" s="31">
        <v>26100</v>
      </c>
    </row>
    <row r="44" spans="2:10" ht="16.8" thickTop="1" thickBot="1">
      <c r="B44" s="37">
        <f t="shared" si="0"/>
        <v>38</v>
      </c>
      <c r="C44" s="12" t="s">
        <v>43</v>
      </c>
      <c r="D44" s="12" t="s">
        <v>205</v>
      </c>
      <c r="E44" s="12" t="s">
        <v>24</v>
      </c>
      <c r="F44" s="13" t="s">
        <v>348</v>
      </c>
      <c r="G44" s="13" t="s">
        <v>206</v>
      </c>
      <c r="H44" s="13" t="s">
        <v>207</v>
      </c>
      <c r="I44" s="13" t="s">
        <v>311</v>
      </c>
      <c r="J44" s="31">
        <v>26100</v>
      </c>
    </row>
    <row r="45" spans="2:10" ht="16.8" thickTop="1" thickBot="1">
      <c r="B45" s="37">
        <f t="shared" si="0"/>
        <v>39</v>
      </c>
      <c r="C45" s="12" t="s">
        <v>288</v>
      </c>
      <c r="D45" s="12" t="s">
        <v>277</v>
      </c>
      <c r="E45" s="12" t="s">
        <v>24</v>
      </c>
      <c r="F45" s="13" t="s">
        <v>348</v>
      </c>
      <c r="G45" s="13" t="s">
        <v>326</v>
      </c>
      <c r="H45" s="13" t="s">
        <v>274</v>
      </c>
      <c r="I45" s="13" t="s">
        <v>108</v>
      </c>
      <c r="J45" s="31">
        <v>45000</v>
      </c>
    </row>
    <row r="46" spans="2:10" ht="16.8" thickTop="1" thickBot="1">
      <c r="B46" s="37">
        <f t="shared" si="0"/>
        <v>40</v>
      </c>
      <c r="C46" s="12" t="s">
        <v>43</v>
      </c>
      <c r="D46" s="12" t="s">
        <v>44</v>
      </c>
      <c r="E46" s="12" t="s">
        <v>30</v>
      </c>
      <c r="F46" s="13" t="s">
        <v>348</v>
      </c>
      <c r="G46" s="13" t="s">
        <v>45</v>
      </c>
      <c r="H46" s="13" t="s">
        <v>46</v>
      </c>
      <c r="I46" s="13" t="s">
        <v>47</v>
      </c>
      <c r="J46" s="31">
        <v>39600</v>
      </c>
    </row>
    <row r="47" spans="2:10" ht="16.8" thickTop="1" thickBot="1">
      <c r="B47" s="37">
        <f t="shared" si="0"/>
        <v>41</v>
      </c>
      <c r="C47" s="12" t="s">
        <v>43</v>
      </c>
      <c r="D47" s="12" t="s">
        <v>94</v>
      </c>
      <c r="E47" s="12" t="s">
        <v>24</v>
      </c>
      <c r="F47" s="13" t="s">
        <v>348</v>
      </c>
      <c r="G47" s="13" t="s">
        <v>346</v>
      </c>
      <c r="H47" s="13" t="s">
        <v>345</v>
      </c>
      <c r="I47" s="13" t="s">
        <v>344</v>
      </c>
      <c r="J47" s="31">
        <v>34200</v>
      </c>
    </row>
    <row r="48" spans="2:10" ht="16.8" thickTop="1" thickBot="1">
      <c r="B48" s="37">
        <f t="shared" si="0"/>
        <v>42</v>
      </c>
      <c r="C48" s="12" t="s">
        <v>202</v>
      </c>
      <c r="D48" s="12" t="s">
        <v>57</v>
      </c>
      <c r="E48" s="12" t="s">
        <v>24</v>
      </c>
      <c r="F48" s="13" t="s">
        <v>348</v>
      </c>
      <c r="G48" s="13" t="s">
        <v>58</v>
      </c>
      <c r="H48" s="13" t="s">
        <v>59</v>
      </c>
      <c r="I48" s="13" t="s">
        <v>60</v>
      </c>
      <c r="J48" s="31">
        <v>29700</v>
      </c>
    </row>
    <row r="49" spans="2:10" ht="16.8" thickTop="1" thickBot="1">
      <c r="B49" s="37">
        <f t="shared" si="0"/>
        <v>43</v>
      </c>
      <c r="C49" s="12" t="s">
        <v>121</v>
      </c>
      <c r="D49" s="12" t="s">
        <v>119</v>
      </c>
      <c r="E49" s="12" t="s">
        <v>39</v>
      </c>
      <c r="F49" s="13" t="s">
        <v>348</v>
      </c>
      <c r="G49" s="13" t="s">
        <v>341</v>
      </c>
      <c r="H49" s="13" t="s">
        <v>120</v>
      </c>
      <c r="I49" s="13" t="s">
        <v>120</v>
      </c>
      <c r="J49" s="31">
        <v>16020</v>
      </c>
    </row>
    <row r="50" spans="2:10" s="9" customFormat="1" ht="16.8" thickTop="1" thickBot="1">
      <c r="B50" s="37">
        <f t="shared" si="0"/>
        <v>44</v>
      </c>
      <c r="C50" s="33" t="s">
        <v>43</v>
      </c>
      <c r="D50" s="33" t="s">
        <v>109</v>
      </c>
      <c r="E50" s="33" t="s">
        <v>19</v>
      </c>
      <c r="F50" s="24" t="s">
        <v>348</v>
      </c>
      <c r="G50" s="24" t="s">
        <v>339</v>
      </c>
      <c r="H50" s="24" t="s">
        <v>110</v>
      </c>
      <c r="I50" s="24" t="s">
        <v>111</v>
      </c>
      <c r="J50" s="25">
        <v>27000</v>
      </c>
    </row>
    <row r="51" spans="2:10" ht="16.8" thickTop="1" thickBot="1">
      <c r="B51" s="37">
        <f t="shared" si="0"/>
        <v>45</v>
      </c>
      <c r="C51" s="34" t="s">
        <v>112</v>
      </c>
      <c r="D51" s="34" t="s">
        <v>144</v>
      </c>
      <c r="E51" s="34" t="s">
        <v>138</v>
      </c>
      <c r="F51" s="21" t="s">
        <v>217</v>
      </c>
      <c r="G51" s="21" t="s">
        <v>208</v>
      </c>
      <c r="H51" s="21" t="s">
        <v>145</v>
      </c>
      <c r="I51" s="21" t="s">
        <v>146</v>
      </c>
      <c r="J51" s="22">
        <v>13500</v>
      </c>
    </row>
    <row r="52" spans="2:10" ht="16.8" thickTop="1" thickBot="1">
      <c r="B52" s="37">
        <f t="shared" si="0"/>
        <v>46</v>
      </c>
      <c r="C52" s="12" t="s">
        <v>112</v>
      </c>
      <c r="D52" s="12" t="s">
        <v>151</v>
      </c>
      <c r="E52" s="12" t="s">
        <v>148</v>
      </c>
      <c r="F52" s="13" t="s">
        <v>217</v>
      </c>
      <c r="G52" s="13" t="s">
        <v>330</v>
      </c>
      <c r="H52" s="13" t="s">
        <v>152</v>
      </c>
      <c r="I52" s="13" t="s">
        <v>65</v>
      </c>
      <c r="J52" s="31">
        <v>67500</v>
      </c>
    </row>
    <row r="53" spans="2:10" ht="16.8" thickTop="1" thickBot="1">
      <c r="B53" s="37">
        <f t="shared" si="0"/>
        <v>47</v>
      </c>
      <c r="C53" s="12" t="s">
        <v>112</v>
      </c>
      <c r="D53" s="12" t="s">
        <v>153</v>
      </c>
      <c r="E53" s="12" t="s">
        <v>148</v>
      </c>
      <c r="F53" s="13" t="s">
        <v>217</v>
      </c>
      <c r="G53" s="13" t="s">
        <v>330</v>
      </c>
      <c r="H53" s="13" t="s">
        <v>152</v>
      </c>
      <c r="I53" s="13" t="s">
        <v>65</v>
      </c>
      <c r="J53" s="31">
        <v>67500</v>
      </c>
    </row>
    <row r="54" spans="2:10" ht="16.8" thickTop="1" thickBot="1">
      <c r="B54" s="37">
        <f t="shared" si="0"/>
        <v>48</v>
      </c>
      <c r="C54" s="12" t="s">
        <v>112</v>
      </c>
      <c r="D54" s="12" t="s">
        <v>135</v>
      </c>
      <c r="E54" s="12" t="s">
        <v>39</v>
      </c>
      <c r="F54" s="13" t="s">
        <v>217</v>
      </c>
      <c r="G54" s="13" t="s">
        <v>211</v>
      </c>
      <c r="H54" s="13" t="s">
        <v>51</v>
      </c>
      <c r="I54" s="13" t="s">
        <v>136</v>
      </c>
      <c r="J54" s="31">
        <v>34200</v>
      </c>
    </row>
    <row r="55" spans="2:10" ht="16.8" thickTop="1" thickBot="1">
      <c r="B55" s="37">
        <f t="shared" si="0"/>
        <v>49</v>
      </c>
      <c r="C55" s="12" t="s">
        <v>112</v>
      </c>
      <c r="D55" s="12" t="s">
        <v>132</v>
      </c>
      <c r="E55" s="12" t="s">
        <v>39</v>
      </c>
      <c r="F55" s="13" t="s">
        <v>217</v>
      </c>
      <c r="G55" s="13" t="s">
        <v>332</v>
      </c>
      <c r="H55" s="13" t="s">
        <v>133</v>
      </c>
      <c r="I55" s="13" t="s">
        <v>134</v>
      </c>
      <c r="J55" s="31">
        <v>58500</v>
      </c>
    </row>
    <row r="56" spans="2:10" ht="16.8" thickTop="1" thickBot="1">
      <c r="B56" s="37">
        <f t="shared" si="0"/>
        <v>50</v>
      </c>
      <c r="C56" s="12" t="s">
        <v>112</v>
      </c>
      <c r="D56" s="12" t="s">
        <v>126</v>
      </c>
      <c r="E56" s="12" t="s">
        <v>19</v>
      </c>
      <c r="F56" s="13" t="s">
        <v>217</v>
      </c>
      <c r="G56" s="13" t="s">
        <v>331</v>
      </c>
      <c r="H56" s="13" t="s">
        <v>127</v>
      </c>
      <c r="I56" s="13" t="s">
        <v>128</v>
      </c>
      <c r="J56" s="31">
        <v>36000</v>
      </c>
    </row>
    <row r="57" spans="2:10" ht="16.8" thickTop="1" thickBot="1">
      <c r="B57" s="37">
        <f t="shared" si="0"/>
        <v>51</v>
      </c>
      <c r="C57" s="12" t="s">
        <v>53</v>
      </c>
      <c r="D57" s="12" t="s">
        <v>66</v>
      </c>
      <c r="E57" s="12" t="s">
        <v>24</v>
      </c>
      <c r="F57" s="13" t="s">
        <v>217</v>
      </c>
      <c r="G57" s="13" t="s">
        <v>287</v>
      </c>
      <c r="H57" s="13" t="s">
        <v>267</v>
      </c>
      <c r="I57" s="13" t="s">
        <v>67</v>
      </c>
      <c r="J57" s="31">
        <v>22500</v>
      </c>
    </row>
    <row r="58" spans="2:10" ht="16.8" thickTop="1" thickBot="1">
      <c r="B58" s="37">
        <f t="shared" si="0"/>
        <v>52</v>
      </c>
      <c r="C58" s="12" t="s">
        <v>112</v>
      </c>
      <c r="D58" s="12" t="s">
        <v>154</v>
      </c>
      <c r="E58" s="12" t="s">
        <v>148</v>
      </c>
      <c r="F58" s="13" t="s">
        <v>217</v>
      </c>
      <c r="G58" s="13" t="s">
        <v>213</v>
      </c>
      <c r="H58" s="13" t="s">
        <v>155</v>
      </c>
      <c r="I58" s="13" t="s">
        <v>33</v>
      </c>
      <c r="J58" s="31">
        <v>25200</v>
      </c>
    </row>
    <row r="59" spans="2:10" ht="16.8" thickTop="1" thickBot="1">
      <c r="B59" s="37">
        <f t="shared" si="0"/>
        <v>53</v>
      </c>
      <c r="C59" s="12" t="s">
        <v>112</v>
      </c>
      <c r="D59" s="12" t="s">
        <v>124</v>
      </c>
      <c r="E59" s="12" t="s">
        <v>24</v>
      </c>
      <c r="F59" s="13" t="s">
        <v>217</v>
      </c>
      <c r="G59" s="13" t="s">
        <v>209</v>
      </c>
      <c r="H59" s="13" t="s">
        <v>125</v>
      </c>
      <c r="I59" s="13" t="s">
        <v>33</v>
      </c>
      <c r="J59" s="31">
        <v>13500</v>
      </c>
    </row>
    <row r="60" spans="2:10" ht="16.8" thickTop="1" thickBot="1">
      <c r="B60" s="37">
        <f t="shared" si="0"/>
        <v>54</v>
      </c>
      <c r="C60" s="12" t="s">
        <v>112</v>
      </c>
      <c r="D60" s="12" t="s">
        <v>156</v>
      </c>
      <c r="E60" s="12" t="s">
        <v>148</v>
      </c>
      <c r="F60" s="13" t="s">
        <v>217</v>
      </c>
      <c r="G60" s="13" t="s">
        <v>210</v>
      </c>
      <c r="H60" s="13" t="s">
        <v>149</v>
      </c>
      <c r="I60" s="13" t="s">
        <v>150</v>
      </c>
      <c r="J60" s="31">
        <v>45000</v>
      </c>
    </row>
    <row r="61" spans="2:10" ht="16.8" thickTop="1" thickBot="1">
      <c r="B61" s="37">
        <f t="shared" si="0"/>
        <v>55</v>
      </c>
      <c r="C61" s="12" t="s">
        <v>112</v>
      </c>
      <c r="D61" s="12" t="s">
        <v>147</v>
      </c>
      <c r="E61" s="12" t="s">
        <v>148</v>
      </c>
      <c r="F61" s="13" t="s">
        <v>217</v>
      </c>
      <c r="G61" s="13" t="s">
        <v>210</v>
      </c>
      <c r="H61" s="13" t="s">
        <v>149</v>
      </c>
      <c r="I61" s="13" t="s">
        <v>150</v>
      </c>
      <c r="J61" s="31">
        <v>45000</v>
      </c>
    </row>
    <row r="62" spans="2:10" ht="16.8" thickTop="1" thickBot="1">
      <c r="B62" s="37">
        <f t="shared" si="0"/>
        <v>56</v>
      </c>
      <c r="C62" s="12" t="s">
        <v>112</v>
      </c>
      <c r="D62" s="12" t="s">
        <v>122</v>
      </c>
      <c r="E62" s="12" t="s">
        <v>30</v>
      </c>
      <c r="F62" s="13" t="s">
        <v>217</v>
      </c>
      <c r="G62" s="13" t="s">
        <v>333</v>
      </c>
      <c r="H62" s="13" t="s">
        <v>123</v>
      </c>
      <c r="I62" s="13" t="s">
        <v>108</v>
      </c>
      <c r="J62" s="31">
        <v>45000</v>
      </c>
    </row>
    <row r="63" spans="2:10" ht="16.8" thickTop="1" thickBot="1">
      <c r="B63" s="37">
        <f t="shared" si="0"/>
        <v>57</v>
      </c>
      <c r="C63" s="12" t="s">
        <v>112</v>
      </c>
      <c r="D63" s="12" t="s">
        <v>129</v>
      </c>
      <c r="E63" s="12" t="s">
        <v>19</v>
      </c>
      <c r="F63" s="13" t="s">
        <v>217</v>
      </c>
      <c r="G63" s="13" t="s">
        <v>214</v>
      </c>
      <c r="H63" s="13" t="s">
        <v>130</v>
      </c>
      <c r="I63" s="13" t="s">
        <v>131</v>
      </c>
      <c r="J63" s="31">
        <v>29700</v>
      </c>
    </row>
    <row r="64" spans="2:10" ht="16.8" thickTop="1" thickBot="1">
      <c r="B64" s="37">
        <f t="shared" si="0"/>
        <v>58</v>
      </c>
      <c r="C64" s="12" t="s">
        <v>112</v>
      </c>
      <c r="D64" s="12" t="s">
        <v>141</v>
      </c>
      <c r="E64" s="12" t="s">
        <v>138</v>
      </c>
      <c r="F64" s="13" t="s">
        <v>217</v>
      </c>
      <c r="G64" s="13" t="s">
        <v>215</v>
      </c>
      <c r="H64" s="13" t="s">
        <v>142</v>
      </c>
      <c r="I64" s="13" t="s">
        <v>143</v>
      </c>
      <c r="J64" s="31">
        <v>16920</v>
      </c>
    </row>
    <row r="65" spans="1:10" ht="16.8" thickTop="1" thickBot="1">
      <c r="B65" s="37">
        <f t="shared" si="0"/>
        <v>59</v>
      </c>
      <c r="C65" s="12" t="s">
        <v>112</v>
      </c>
      <c r="D65" s="12" t="s">
        <v>137</v>
      </c>
      <c r="E65" s="12" t="s">
        <v>138</v>
      </c>
      <c r="F65" s="13" t="s">
        <v>217</v>
      </c>
      <c r="G65" s="13" t="s">
        <v>212</v>
      </c>
      <c r="H65" s="13" t="s">
        <v>139</v>
      </c>
      <c r="I65" s="13" t="s">
        <v>140</v>
      </c>
      <c r="J65" s="31">
        <v>27900</v>
      </c>
    </row>
    <row r="66" spans="1:10" ht="16.8" thickTop="1" thickBot="1">
      <c r="B66" s="37">
        <f t="shared" si="0"/>
        <v>60</v>
      </c>
      <c r="C66" s="33" t="s">
        <v>112</v>
      </c>
      <c r="D66" s="33" t="s">
        <v>157</v>
      </c>
      <c r="E66" s="33" t="s">
        <v>148</v>
      </c>
      <c r="F66" s="24" t="s">
        <v>217</v>
      </c>
      <c r="G66" s="24" t="s">
        <v>212</v>
      </c>
      <c r="H66" s="24" t="s">
        <v>139</v>
      </c>
      <c r="I66" s="24" t="s">
        <v>140</v>
      </c>
      <c r="J66" s="25">
        <v>27900</v>
      </c>
    </row>
    <row r="67" spans="1:10" ht="16.8" thickTop="1" thickBot="1">
      <c r="A67" s="11"/>
      <c r="B67" s="37">
        <f t="shared" si="0"/>
        <v>61</v>
      </c>
      <c r="C67" s="26" t="s">
        <v>37</v>
      </c>
      <c r="D67" s="26" t="s">
        <v>106</v>
      </c>
      <c r="E67" s="26" t="s">
        <v>19</v>
      </c>
      <c r="F67" s="27" t="s">
        <v>225</v>
      </c>
      <c r="G67" s="27" t="s">
        <v>329</v>
      </c>
      <c r="H67" s="27" t="s">
        <v>107</v>
      </c>
      <c r="I67" s="27" t="s">
        <v>108</v>
      </c>
      <c r="J67" s="28">
        <v>26100</v>
      </c>
    </row>
    <row r="68" spans="1:10" s="16" customFormat="1" ht="16.8" thickTop="1" thickBot="1">
      <c r="A68" s="11"/>
      <c r="B68" s="37">
        <f t="shared" si="0"/>
        <v>62</v>
      </c>
      <c r="C68" s="26" t="s">
        <v>291</v>
      </c>
      <c r="D68" s="26" t="s">
        <v>292</v>
      </c>
      <c r="E68" s="26" t="s">
        <v>293</v>
      </c>
      <c r="F68" s="27" t="s">
        <v>294</v>
      </c>
      <c r="G68" s="27" t="s">
        <v>208</v>
      </c>
      <c r="H68" s="27" t="s">
        <v>145</v>
      </c>
      <c r="I68" s="27" t="s">
        <v>146</v>
      </c>
      <c r="J68" s="28">
        <v>13500</v>
      </c>
    </row>
    <row r="69" spans="1:10" ht="16.8" thickTop="1" thickBot="1">
      <c r="A69" s="11"/>
      <c r="B69" s="37">
        <f t="shared" si="0"/>
        <v>63</v>
      </c>
      <c r="C69" s="34" t="s">
        <v>17</v>
      </c>
      <c r="D69" s="34" t="s">
        <v>255</v>
      </c>
      <c r="E69" s="34" t="s">
        <v>39</v>
      </c>
      <c r="F69" s="21" t="s">
        <v>290</v>
      </c>
      <c r="G69" s="21" t="s">
        <v>256</v>
      </c>
      <c r="H69" s="21" t="s">
        <v>257</v>
      </c>
      <c r="I69" s="21" t="s">
        <v>33</v>
      </c>
      <c r="J69" s="22">
        <v>37800</v>
      </c>
    </row>
    <row r="70" spans="1:10" ht="16.8" thickTop="1" thickBot="1">
      <c r="B70" s="37">
        <f t="shared" si="0"/>
        <v>64</v>
      </c>
      <c r="C70" s="12" t="s">
        <v>37</v>
      </c>
      <c r="D70" s="12" t="s">
        <v>263</v>
      </c>
      <c r="E70" s="12" t="s">
        <v>30</v>
      </c>
      <c r="F70" s="13" t="s">
        <v>290</v>
      </c>
      <c r="G70" s="13" t="s">
        <v>328</v>
      </c>
      <c r="H70" s="13" t="s">
        <v>264</v>
      </c>
      <c r="I70" s="13" t="s">
        <v>265</v>
      </c>
      <c r="J70" s="31">
        <v>35000</v>
      </c>
    </row>
    <row r="71" spans="1:10" ht="16.8" thickTop="1" thickBot="1">
      <c r="B71" s="37">
        <f t="shared" si="0"/>
        <v>65</v>
      </c>
      <c r="C71" s="12" t="s">
        <v>37</v>
      </c>
      <c r="D71" s="12" t="s">
        <v>238</v>
      </c>
      <c r="E71" s="12" t="s">
        <v>39</v>
      </c>
      <c r="F71" s="13" t="s">
        <v>290</v>
      </c>
      <c r="G71" s="13" t="s">
        <v>281</v>
      </c>
      <c r="H71" s="13" t="s">
        <v>239</v>
      </c>
      <c r="I71" s="13" t="s">
        <v>27</v>
      </c>
      <c r="J71" s="31">
        <v>54000</v>
      </c>
    </row>
    <row r="72" spans="1:10" s="16" customFormat="1" ht="16.8" thickTop="1" thickBot="1">
      <c r="B72" s="37">
        <f t="shared" ref="B72:B96" si="1">ROW()-6</f>
        <v>66</v>
      </c>
      <c r="C72" s="12" t="s">
        <v>37</v>
      </c>
      <c r="D72" s="12" t="s">
        <v>258</v>
      </c>
      <c r="E72" s="12" t="s">
        <v>138</v>
      </c>
      <c r="F72" s="13" t="s">
        <v>290</v>
      </c>
      <c r="G72" s="13" t="s">
        <v>281</v>
      </c>
      <c r="H72" s="13" t="s">
        <v>239</v>
      </c>
      <c r="I72" s="13" t="s">
        <v>27</v>
      </c>
      <c r="J72" s="31">
        <v>54000</v>
      </c>
    </row>
    <row r="73" spans="1:10" s="16" customFormat="1" ht="16.8" thickTop="1" thickBot="1">
      <c r="B73" s="37">
        <f t="shared" si="1"/>
        <v>67</v>
      </c>
      <c r="C73" s="12" t="s">
        <v>17</v>
      </c>
      <c r="D73" s="12" t="s">
        <v>233</v>
      </c>
      <c r="E73" s="12" t="s">
        <v>30</v>
      </c>
      <c r="F73" s="13" t="s">
        <v>290</v>
      </c>
      <c r="G73" s="13" t="s">
        <v>234</v>
      </c>
      <c r="H73" s="13" t="s">
        <v>235</v>
      </c>
      <c r="I73" s="13" t="s">
        <v>189</v>
      </c>
      <c r="J73" s="31">
        <v>10800</v>
      </c>
    </row>
    <row r="74" spans="1:10" s="16" customFormat="1" ht="16.8" thickTop="1" thickBot="1">
      <c r="B74" s="37">
        <f t="shared" si="1"/>
        <v>68</v>
      </c>
      <c r="C74" s="12" t="s">
        <v>37</v>
      </c>
      <c r="D74" s="12" t="s">
        <v>269</v>
      </c>
      <c r="E74" s="12" t="s">
        <v>148</v>
      </c>
      <c r="F74" s="13" t="s">
        <v>290</v>
      </c>
      <c r="G74" s="13" t="s">
        <v>319</v>
      </c>
      <c r="H74" s="13" t="s">
        <v>99</v>
      </c>
      <c r="I74" s="13" t="s">
        <v>47</v>
      </c>
      <c r="J74" s="31">
        <v>16200</v>
      </c>
    </row>
    <row r="75" spans="1:10" s="16" customFormat="1" ht="16.8" thickTop="1" thickBot="1">
      <c r="B75" s="37">
        <f t="shared" si="1"/>
        <v>69</v>
      </c>
      <c r="C75" s="12" t="s">
        <v>37</v>
      </c>
      <c r="D75" s="12" t="s">
        <v>273</v>
      </c>
      <c r="E75" s="12" t="s">
        <v>148</v>
      </c>
      <c r="F75" s="13" t="s">
        <v>290</v>
      </c>
      <c r="G75" s="13" t="s">
        <v>326</v>
      </c>
      <c r="H75" s="13" t="s">
        <v>274</v>
      </c>
      <c r="I75" s="13" t="s">
        <v>108</v>
      </c>
      <c r="J75" s="31">
        <v>45000</v>
      </c>
    </row>
    <row r="76" spans="1:10" s="16" customFormat="1" ht="16.8" thickTop="1" thickBot="1">
      <c r="B76" s="37">
        <f t="shared" si="1"/>
        <v>70</v>
      </c>
      <c r="C76" s="12" t="s">
        <v>37</v>
      </c>
      <c r="D76" s="12" t="s">
        <v>236</v>
      </c>
      <c r="E76" s="12" t="s">
        <v>148</v>
      </c>
      <c r="F76" s="13" t="s">
        <v>290</v>
      </c>
      <c r="G76" s="13" t="s">
        <v>280</v>
      </c>
      <c r="H76" s="13" t="s">
        <v>237</v>
      </c>
      <c r="I76" s="13" t="s">
        <v>128</v>
      </c>
      <c r="J76" s="31">
        <v>22500</v>
      </c>
    </row>
    <row r="77" spans="1:10" s="16" customFormat="1" ht="16.8" thickTop="1" thickBot="1">
      <c r="B77" s="37">
        <f t="shared" si="1"/>
        <v>71</v>
      </c>
      <c r="C77" s="12" t="s">
        <v>37</v>
      </c>
      <c r="D77" s="12" t="s">
        <v>270</v>
      </c>
      <c r="E77" s="12" t="s">
        <v>148</v>
      </c>
      <c r="F77" s="13" t="s">
        <v>290</v>
      </c>
      <c r="G77" s="13" t="s">
        <v>271</v>
      </c>
      <c r="H77" s="13" t="s">
        <v>272</v>
      </c>
      <c r="I77" s="13" t="s">
        <v>65</v>
      </c>
      <c r="J77" s="31">
        <v>32400</v>
      </c>
    </row>
    <row r="78" spans="1:10" s="16" customFormat="1" ht="16.8" thickTop="1" thickBot="1">
      <c r="B78" s="37">
        <f t="shared" si="1"/>
        <v>72</v>
      </c>
      <c r="C78" s="12" t="s">
        <v>37</v>
      </c>
      <c r="D78" s="12" t="s">
        <v>266</v>
      </c>
      <c r="E78" s="12" t="s">
        <v>19</v>
      </c>
      <c r="F78" s="13" t="s">
        <v>290</v>
      </c>
      <c r="G78" s="13" t="s">
        <v>287</v>
      </c>
      <c r="H78" s="13" t="s">
        <v>267</v>
      </c>
      <c r="I78" s="13" t="s">
        <v>268</v>
      </c>
      <c r="J78" s="31">
        <v>22500</v>
      </c>
    </row>
    <row r="79" spans="1:10" s="17" customFormat="1" ht="16.8" thickTop="1" thickBot="1">
      <c r="B79" s="37">
        <f t="shared" si="1"/>
        <v>73</v>
      </c>
      <c r="C79" s="12" t="s">
        <v>37</v>
      </c>
      <c r="D79" s="12" t="s">
        <v>260</v>
      </c>
      <c r="E79" s="12" t="s">
        <v>148</v>
      </c>
      <c r="F79" s="13" t="s">
        <v>290</v>
      </c>
      <c r="G79" s="13" t="s">
        <v>327</v>
      </c>
      <c r="H79" s="13" t="s">
        <v>261</v>
      </c>
      <c r="I79" s="13" t="s">
        <v>262</v>
      </c>
      <c r="J79" s="31">
        <v>40500</v>
      </c>
    </row>
    <row r="80" spans="1:10" s="17" customFormat="1" ht="16.8" thickTop="1" thickBot="1">
      <c r="B80" s="37">
        <f t="shared" si="1"/>
        <v>74</v>
      </c>
      <c r="C80" s="12" t="s">
        <v>37</v>
      </c>
      <c r="D80" s="12" t="s">
        <v>250</v>
      </c>
      <c r="E80" s="12" t="s">
        <v>30</v>
      </c>
      <c r="F80" s="13" t="s">
        <v>290</v>
      </c>
      <c r="G80" s="13" t="s">
        <v>284</v>
      </c>
      <c r="H80" s="13" t="s">
        <v>251</v>
      </c>
      <c r="I80" s="13" t="s">
        <v>252</v>
      </c>
      <c r="J80" s="31">
        <v>28800</v>
      </c>
    </row>
    <row r="81" spans="2:10" s="16" customFormat="1" ht="16.8" thickTop="1" thickBot="1">
      <c r="B81" s="37">
        <f t="shared" si="1"/>
        <v>75</v>
      </c>
      <c r="C81" s="12" t="s">
        <v>37</v>
      </c>
      <c r="D81" s="12" t="s">
        <v>38</v>
      </c>
      <c r="E81" s="12" t="s">
        <v>39</v>
      </c>
      <c r="F81" s="13" t="s">
        <v>290</v>
      </c>
      <c r="G81" s="13" t="s">
        <v>285</v>
      </c>
      <c r="H81" s="13" t="s">
        <v>253</v>
      </c>
      <c r="I81" s="13" t="s">
        <v>33</v>
      </c>
      <c r="J81" s="31">
        <v>30600</v>
      </c>
    </row>
    <row r="82" spans="2:10" s="16" customFormat="1" ht="16.8" thickTop="1" thickBot="1">
      <c r="B82" s="37">
        <f t="shared" si="1"/>
        <v>76</v>
      </c>
      <c r="C82" s="12" t="s">
        <v>37</v>
      </c>
      <c r="D82" s="12" t="s">
        <v>244</v>
      </c>
      <c r="E82" s="12" t="s">
        <v>30</v>
      </c>
      <c r="F82" s="13" t="s">
        <v>290</v>
      </c>
      <c r="G82" s="13" t="s">
        <v>283</v>
      </c>
      <c r="H82" s="13" t="s">
        <v>245</v>
      </c>
      <c r="I82" s="13" t="s">
        <v>185</v>
      </c>
      <c r="J82" s="31">
        <v>25200</v>
      </c>
    </row>
    <row r="83" spans="2:10" s="16" customFormat="1" ht="16.8" thickTop="1" thickBot="1">
      <c r="B83" s="37">
        <f t="shared" si="1"/>
        <v>77</v>
      </c>
      <c r="C83" s="12" t="s">
        <v>37</v>
      </c>
      <c r="D83" s="12" t="s">
        <v>242</v>
      </c>
      <c r="E83" s="12" t="s">
        <v>148</v>
      </c>
      <c r="F83" s="13" t="s">
        <v>290</v>
      </c>
      <c r="G83" s="13" t="s">
        <v>282</v>
      </c>
      <c r="H83" s="13" t="s">
        <v>243</v>
      </c>
      <c r="I83" s="13" t="s">
        <v>47</v>
      </c>
      <c r="J83" s="31">
        <v>14400</v>
      </c>
    </row>
    <row r="84" spans="2:10" ht="16.8" thickTop="1" thickBot="1">
      <c r="B84" s="37">
        <f t="shared" si="1"/>
        <v>78</v>
      </c>
      <c r="C84" s="12" t="s">
        <v>37</v>
      </c>
      <c r="D84" s="12" t="s">
        <v>240</v>
      </c>
      <c r="E84" s="12" t="s">
        <v>138</v>
      </c>
      <c r="F84" s="13" t="s">
        <v>290</v>
      </c>
      <c r="G84" s="13" t="s">
        <v>320</v>
      </c>
      <c r="H84" s="13" t="s">
        <v>241</v>
      </c>
      <c r="I84" s="13" t="s">
        <v>33</v>
      </c>
      <c r="J84" s="31">
        <v>35100</v>
      </c>
    </row>
    <row r="85" spans="2:10" ht="16.8" thickTop="1" thickBot="1">
      <c r="B85" s="37">
        <f t="shared" si="1"/>
        <v>79</v>
      </c>
      <c r="C85" s="12" t="s">
        <v>37</v>
      </c>
      <c r="D85" s="12" t="s">
        <v>232</v>
      </c>
      <c r="E85" s="12" t="s">
        <v>19</v>
      </c>
      <c r="F85" s="13" t="s">
        <v>290</v>
      </c>
      <c r="G85" s="13" t="s">
        <v>320</v>
      </c>
      <c r="H85" s="13" t="s">
        <v>241</v>
      </c>
      <c r="I85" s="13" t="s">
        <v>33</v>
      </c>
      <c r="J85" s="31">
        <v>35100</v>
      </c>
    </row>
    <row r="86" spans="2:10" ht="16.8" thickTop="1" thickBot="1">
      <c r="B86" s="37">
        <f t="shared" si="1"/>
        <v>80</v>
      </c>
      <c r="C86" s="12" t="s">
        <v>37</v>
      </c>
      <c r="D86" s="12" t="s">
        <v>169</v>
      </c>
      <c r="E86" s="12" t="s">
        <v>39</v>
      </c>
      <c r="F86" s="13" t="s">
        <v>290</v>
      </c>
      <c r="G86" s="13" t="s">
        <v>286</v>
      </c>
      <c r="H86" s="13" t="s">
        <v>254</v>
      </c>
      <c r="I86" s="13" t="s">
        <v>189</v>
      </c>
      <c r="J86" s="31">
        <v>18000</v>
      </c>
    </row>
    <row r="87" spans="2:10" ht="16.8" thickTop="1" thickBot="1">
      <c r="B87" s="37">
        <f t="shared" si="1"/>
        <v>81</v>
      </c>
      <c r="C87" s="12" t="s">
        <v>37</v>
      </c>
      <c r="D87" s="12" t="s">
        <v>246</v>
      </c>
      <c r="E87" s="12" t="s">
        <v>148</v>
      </c>
      <c r="F87" s="13" t="s">
        <v>290</v>
      </c>
      <c r="G87" s="13" t="s">
        <v>247</v>
      </c>
      <c r="H87" s="13" t="s">
        <v>248</v>
      </c>
      <c r="I87" s="13" t="s">
        <v>249</v>
      </c>
      <c r="J87" s="31">
        <v>40500</v>
      </c>
    </row>
    <row r="88" spans="2:10" ht="16.8" thickTop="1" thickBot="1">
      <c r="B88" s="37">
        <f t="shared" si="1"/>
        <v>82</v>
      </c>
      <c r="C88" s="12" t="s">
        <v>37</v>
      </c>
      <c r="D88" s="12" t="s">
        <v>259</v>
      </c>
      <c r="E88" s="12" t="s">
        <v>148</v>
      </c>
      <c r="F88" s="13" t="s">
        <v>290</v>
      </c>
      <c r="G88" s="13" t="s">
        <v>212</v>
      </c>
      <c r="H88" s="13" t="s">
        <v>139</v>
      </c>
      <c r="I88" s="13" t="s">
        <v>140</v>
      </c>
      <c r="J88" s="31">
        <v>27900</v>
      </c>
    </row>
    <row r="89" spans="2:10" ht="16.8" thickTop="1" thickBot="1">
      <c r="B89" s="37">
        <f t="shared" si="1"/>
        <v>83</v>
      </c>
      <c r="C89" s="12" t="s">
        <v>37</v>
      </c>
      <c r="D89" s="12" t="s">
        <v>183</v>
      </c>
      <c r="E89" s="12" t="s">
        <v>39</v>
      </c>
      <c r="F89" s="13" t="s">
        <v>290</v>
      </c>
      <c r="G89" s="13" t="s">
        <v>324</v>
      </c>
      <c r="H89" s="13" t="s">
        <v>184</v>
      </c>
      <c r="I89" s="13" t="s">
        <v>185</v>
      </c>
      <c r="J89" s="31">
        <v>28800</v>
      </c>
    </row>
    <row r="90" spans="2:10" s="17" customFormat="1" ht="16.8" thickTop="1" thickBot="1">
      <c r="B90" s="37">
        <f t="shared" si="1"/>
        <v>84</v>
      </c>
      <c r="C90" s="12" t="s">
        <v>17</v>
      </c>
      <c r="D90" s="12" t="s">
        <v>18</v>
      </c>
      <c r="E90" s="12" t="s">
        <v>19</v>
      </c>
      <c r="F90" s="13" t="s">
        <v>290</v>
      </c>
      <c r="G90" s="13" t="s">
        <v>20</v>
      </c>
      <c r="H90" s="13" t="s">
        <v>21</v>
      </c>
      <c r="I90" s="13" t="s">
        <v>22</v>
      </c>
      <c r="J90" s="31">
        <v>33300</v>
      </c>
    </row>
    <row r="91" spans="2:10" s="17" customFormat="1" ht="16.8" thickTop="1" thickBot="1">
      <c r="B91" s="37">
        <f t="shared" si="1"/>
        <v>85</v>
      </c>
      <c r="C91" s="12" t="s">
        <v>37</v>
      </c>
      <c r="D91" s="12" t="s">
        <v>38</v>
      </c>
      <c r="E91" s="12" t="s">
        <v>39</v>
      </c>
      <c r="F91" s="13" t="s">
        <v>290</v>
      </c>
      <c r="G91" s="13" t="s">
        <v>40</v>
      </c>
      <c r="H91" s="13" t="s">
        <v>41</v>
      </c>
      <c r="I91" s="13" t="s">
        <v>42</v>
      </c>
      <c r="J91" s="31">
        <v>36900</v>
      </c>
    </row>
    <row r="92" spans="2:10" ht="16.8" thickTop="1" thickBot="1">
      <c r="B92" s="37">
        <f t="shared" si="1"/>
        <v>86</v>
      </c>
      <c r="C92" s="12" t="s">
        <v>37</v>
      </c>
      <c r="D92" s="12" t="s">
        <v>169</v>
      </c>
      <c r="E92" s="12" t="s">
        <v>39</v>
      </c>
      <c r="F92" s="13" t="s">
        <v>290</v>
      </c>
      <c r="G92" s="13" t="s">
        <v>325</v>
      </c>
      <c r="H92" s="13" t="s">
        <v>170</v>
      </c>
      <c r="I92" s="13" t="s">
        <v>33</v>
      </c>
      <c r="J92" s="31">
        <v>19800</v>
      </c>
    </row>
    <row r="93" spans="2:10" ht="16.8" thickTop="1" thickBot="1">
      <c r="B93" s="37">
        <f t="shared" si="1"/>
        <v>87</v>
      </c>
      <c r="C93" s="33" t="s">
        <v>43</v>
      </c>
      <c r="D93" s="33" t="s">
        <v>98</v>
      </c>
      <c r="E93" s="33" t="s">
        <v>39</v>
      </c>
      <c r="F93" s="24" t="s">
        <v>290</v>
      </c>
      <c r="G93" s="24" t="s">
        <v>334</v>
      </c>
      <c r="H93" s="24" t="s">
        <v>99</v>
      </c>
      <c r="I93" s="24" t="s">
        <v>337</v>
      </c>
      <c r="J93" s="25">
        <v>31500</v>
      </c>
    </row>
    <row r="94" spans="2:10" ht="16.8" thickTop="1" thickBot="1">
      <c r="B94" s="37">
        <f t="shared" si="1"/>
        <v>88</v>
      </c>
      <c r="C94" s="26" t="s">
        <v>28</v>
      </c>
      <c r="D94" s="26" t="s">
        <v>68</v>
      </c>
      <c r="E94" s="26" t="s">
        <v>30</v>
      </c>
      <c r="F94" s="27" t="s">
        <v>289</v>
      </c>
      <c r="G94" s="27" t="s">
        <v>278</v>
      </c>
      <c r="H94" s="27" t="s">
        <v>69</v>
      </c>
      <c r="I94" s="27" t="s">
        <v>70</v>
      </c>
      <c r="J94" s="28">
        <v>22500</v>
      </c>
    </row>
    <row r="95" spans="2:10" ht="16.8" thickTop="1" thickBot="1">
      <c r="B95" s="37">
        <f t="shared" si="1"/>
        <v>89</v>
      </c>
      <c r="C95" s="34" t="s">
        <v>43</v>
      </c>
      <c r="D95" s="34" t="s">
        <v>158</v>
      </c>
      <c r="E95" s="34" t="s">
        <v>138</v>
      </c>
      <c r="F95" s="21" t="s">
        <v>159</v>
      </c>
      <c r="G95" s="21" t="s">
        <v>160</v>
      </c>
      <c r="H95" s="21" t="s">
        <v>161</v>
      </c>
      <c r="I95" s="21" t="s">
        <v>33</v>
      </c>
      <c r="J95" s="22">
        <v>21600</v>
      </c>
    </row>
    <row r="96" spans="2:10" ht="16.8" thickTop="1" thickBot="1">
      <c r="B96" s="37">
        <f t="shared" si="1"/>
        <v>90</v>
      </c>
      <c r="C96" s="33" t="s">
        <v>43</v>
      </c>
      <c r="D96" s="33" t="s">
        <v>162</v>
      </c>
      <c r="E96" s="33" t="s">
        <v>30</v>
      </c>
      <c r="F96" s="24" t="s">
        <v>159</v>
      </c>
      <c r="G96" s="24" t="s">
        <v>163</v>
      </c>
      <c r="H96" s="24" t="s">
        <v>164</v>
      </c>
      <c r="I96" s="24" t="s">
        <v>82</v>
      </c>
      <c r="J96" s="25">
        <v>28800</v>
      </c>
    </row>
    <row r="97" spans="3:10" ht="16.2" thickTop="1">
      <c r="C97" s="18"/>
      <c r="D97" s="18"/>
      <c r="E97" s="18"/>
      <c r="F97" s="18"/>
      <c r="G97" s="18"/>
      <c r="H97" s="18"/>
      <c r="I97" s="18"/>
      <c r="J97" s="10">
        <f>SUM(J7:J96)</f>
        <v>2762260</v>
      </c>
    </row>
    <row r="99" spans="3:10">
      <c r="J99" s="1"/>
    </row>
  </sheetData>
  <autoFilter ref="C6:J97">
    <sortState ref="C7:J97">
      <sortCondition ref="F6:F97"/>
    </sortState>
  </autoFilter>
  <mergeCells count="2">
    <mergeCell ref="G5:J5"/>
    <mergeCell ref="C5:F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2021</vt:lpstr>
      <vt:lpstr>Sheet1</vt:lpstr>
      <vt:lpstr>2019</vt:lpstr>
    </vt:vector>
  </TitlesOfParts>
  <Company>소프트뱅크 커머스 코리아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손은영</dc:creator>
  <cp:lastModifiedBy>hoon jung</cp:lastModifiedBy>
  <dcterms:created xsi:type="dcterms:W3CDTF">2018-02-09T01:40:24Z</dcterms:created>
  <dcterms:modified xsi:type="dcterms:W3CDTF">2021-04-16T00:35:39Z</dcterms:modified>
</cp:coreProperties>
</file>